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938c9125da1a64bd/Desktop/excel_powerbi/"/>
    </mc:Choice>
  </mc:AlternateContent>
  <xr:revisionPtr revIDLastSave="1547" documentId="11_26D0F33684DDEE9ABD0B0F0DBCE72B1B69595BE3" xr6:coauthVersionLast="47" xr6:coauthVersionMax="47" xr10:uidLastSave="{8B240FA7-CBD9-452A-B8FF-9D63AB404FB4}"/>
  <bookViews>
    <workbookView xWindow="-108" yWindow="-108" windowWidth="23256" windowHeight="12456" activeTab="1" xr2:uid="{00000000-000D-0000-FFFF-FFFF00000000}"/>
  </bookViews>
  <sheets>
    <sheet name="Inian_bank" sheetId="2" r:id="rId1"/>
    <sheet name="dashboard" sheetId="3" r:id="rId2"/>
    <sheet name="monthly_trends" sheetId="5" r:id="rId3"/>
    <sheet name="Transaction Volume by Branch" sheetId="6" r:id="rId4"/>
    <sheet name="Sheet6" sheetId="7" r:id="rId5"/>
    <sheet name="Sheet7" sheetId="8" r:id="rId6"/>
    <sheet name="Sheet8" sheetId="9" r:id="rId7"/>
    <sheet name="Sheet9" sheetId="10" r:id="rId8"/>
    <sheet name="Sheet10" sheetId="11" r:id="rId9"/>
    <sheet name="Sheet11" sheetId="12" r:id="rId10"/>
    <sheet name="Sheet15" sheetId="17" r:id="rId11"/>
    <sheet name="Sheet16" sheetId="18" r:id="rId12"/>
    <sheet name="Sheet17" sheetId="19" r:id="rId13"/>
    <sheet name="Sheet1" sheetId="1" r:id="rId14"/>
  </sheets>
  <definedNames>
    <definedName name="_xlnm._FilterDatabase" localSheetId="13" hidden="1">Sheet1!$A$1:$P$501</definedName>
    <definedName name="Slicer_month">#N/A</definedName>
    <definedName name="Slicer_Payment_Mode">#N/A</definedName>
    <definedName name="Slicer_Region">#N/A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alcChain>
</file>

<file path=xl/sharedStrings.xml><?xml version="1.0" encoding="utf-8"?>
<sst xmlns="http://schemas.openxmlformats.org/spreadsheetml/2006/main" count="5139" uniqueCount="1110">
  <si>
    <t>Transaction ID</t>
  </si>
  <si>
    <t>Customer ID</t>
  </si>
  <si>
    <t>Customer Name</t>
  </si>
  <si>
    <t>Account Number</t>
  </si>
  <si>
    <t>Region</t>
  </si>
  <si>
    <t>City</t>
  </si>
  <si>
    <t>Branch Name</t>
  </si>
  <si>
    <t>Account Type</t>
  </si>
  <si>
    <t>Transaction Type</t>
  </si>
  <si>
    <t>Transaction Amount</t>
  </si>
  <si>
    <t>Payment Mode</t>
  </si>
  <si>
    <t>Transaction Date</t>
  </si>
  <si>
    <t>Transaction Status</t>
  </si>
  <si>
    <t>Balance After Txn</t>
  </si>
  <si>
    <t>Is Fraud</t>
  </si>
  <si>
    <t>c906d56a-71d8-4309-80aa-8a668e6dd338</t>
  </si>
  <si>
    <t>Indali Dhingra</t>
  </si>
  <si>
    <t>Central</t>
  </si>
  <si>
    <t>Indore</t>
  </si>
  <si>
    <t>Indore Branch</t>
  </si>
  <si>
    <t>Fixed Deposit</t>
  </si>
  <si>
    <t>Cheque</t>
  </si>
  <si>
    <t>UPI</t>
  </si>
  <si>
    <t>Completed</t>
  </si>
  <si>
    <t>No</t>
  </si>
  <si>
    <t>bdbca5a9-5d6f-4b32-8e2d-c1ec810a57b1</t>
  </si>
  <si>
    <t>Siya Kala</t>
  </si>
  <si>
    <t>East</t>
  </si>
  <si>
    <t>Guwahati</t>
  </si>
  <si>
    <t>Guwahati Branch</t>
  </si>
  <si>
    <t>Recurring Deposit</t>
  </si>
  <si>
    <t>Credit Card</t>
  </si>
  <si>
    <t>1da2b6df-97ce-4e21-8661-e764b63e2541</t>
  </si>
  <si>
    <t>Tejas Rajan</t>
  </si>
  <si>
    <t>West</t>
  </si>
  <si>
    <t>Ahmedabad</t>
  </si>
  <si>
    <t>Ahmedabad Branch</t>
  </si>
  <si>
    <t>Withdrawal</t>
  </si>
  <si>
    <t>Net Banking</t>
  </si>
  <si>
    <t>30ec4db1-c1da-4e6d-a17b-8ac3ed248b37</t>
  </si>
  <si>
    <t>Charita Oza</t>
  </si>
  <si>
    <t>Pune</t>
  </si>
  <si>
    <t>Pune Branch</t>
  </si>
  <si>
    <t>7e2c42ab-e97b-4765-84cc-7615869642b7</t>
  </si>
  <si>
    <t>Daksh Thaman</t>
  </si>
  <si>
    <t>Bhopal</t>
  </si>
  <si>
    <t>Bhopal Branch</t>
  </si>
  <si>
    <t>Deposit</t>
  </si>
  <si>
    <t>Debit Card</t>
  </si>
  <si>
    <t>Pending</t>
  </si>
  <si>
    <t>f6c20666-e23c-41bb-a870-4d16c7379d68</t>
  </si>
  <si>
    <t>Zarna Mammen</t>
  </si>
  <si>
    <t>Online Transfer</t>
  </si>
  <si>
    <t>6c238a7e-487a-419c-895f-95878bc1a52c</t>
  </si>
  <si>
    <t>Ranveer Wable</t>
  </si>
  <si>
    <t>Raipur</t>
  </si>
  <si>
    <t>Raipur Branch</t>
  </si>
  <si>
    <t>bc35e5f4-7c5e-4606-aa23-6d21f8fdc00e</t>
  </si>
  <si>
    <t>Janya Oommen</t>
  </si>
  <si>
    <t>Surat</t>
  </si>
  <si>
    <t>Surat Branch</t>
  </si>
  <si>
    <t>e6d3886e-aca3-43c0-bf91-e8d20f87eca1</t>
  </si>
  <si>
    <t>Pranav Sarraf</t>
  </si>
  <si>
    <t>North</t>
  </si>
  <si>
    <t>Amritsar</t>
  </si>
  <si>
    <t>Amritsar Branch</t>
  </si>
  <si>
    <t>Current</t>
  </si>
  <si>
    <t>e3a56d54-c6b9-40fb-affd-049c92df79ce</t>
  </si>
  <si>
    <t>Arunima Andra</t>
  </si>
  <si>
    <t>Savings</t>
  </si>
  <si>
    <t>f6d81624-e6e6-42d1-8653-88f03bbfb88b</t>
  </si>
  <si>
    <t>Anusha Parmar</t>
  </si>
  <si>
    <t>Nagpur</t>
  </si>
  <si>
    <t>Nagpur Branch</t>
  </si>
  <si>
    <t>ab65a169-4325-491e-9d38-48ef43acc5e5</t>
  </si>
  <si>
    <t>Utkarsh Narain</t>
  </si>
  <si>
    <t>d6f2d03e-286c-462e-8fbd-42ae564d7f34</t>
  </si>
  <si>
    <t>Vanya Patla</t>
  </si>
  <si>
    <t>Patna</t>
  </si>
  <si>
    <t>Patna Branch</t>
  </si>
  <si>
    <t>92093123-ee44-409d-aada-080e179fa528</t>
  </si>
  <si>
    <t>Ayush Bala</t>
  </si>
  <si>
    <t>Lucknow</t>
  </si>
  <si>
    <t>Lucknow Branch</t>
  </si>
  <si>
    <t>4f3c9aea-24f2-4065-98c8-531921030986</t>
  </si>
  <si>
    <t>Nikita Kaur</t>
  </si>
  <si>
    <t>Jabalpur</t>
  </si>
  <si>
    <t>Jabalpur Branch</t>
  </si>
  <si>
    <t>3605051e-c720-4642-8fa2-6812b5f8ad82</t>
  </si>
  <si>
    <t>Bhanumati Balakrishnan</t>
  </si>
  <si>
    <t>South</t>
  </si>
  <si>
    <t>Coimbatore</t>
  </si>
  <si>
    <t>Coimbatore Branch</t>
  </si>
  <si>
    <t>fa5483e6-631d-4a81-ad7e-80ae050dc1a1</t>
  </si>
  <si>
    <t>Anthony Dave</t>
  </si>
  <si>
    <t>31846b44-390e-4af1-a70c-c978ab1efad5</t>
  </si>
  <si>
    <t>Tanveer Kohli</t>
  </si>
  <si>
    <t>Cash</t>
  </si>
  <si>
    <t>54d3834e-67ff-43b6-8cf2-456017b143bb</t>
  </si>
  <si>
    <t>Ekani Dara</t>
  </si>
  <si>
    <t>52c824b7-1470-46e4-b351-74a77fa1c374</t>
  </si>
  <si>
    <t>Jai Tandon</t>
  </si>
  <si>
    <t>aa664390-1628-4b67-8902-862a5929cce2</t>
  </si>
  <si>
    <t>Watika Mistry</t>
  </si>
  <si>
    <t>Kochi</t>
  </si>
  <si>
    <t>Kochi Branch</t>
  </si>
  <si>
    <t>3a37175b-933c-43b8-a644-5acf3afbf2e8</t>
  </si>
  <si>
    <t>Vasatika Johal</t>
  </si>
  <si>
    <t>Chennai</t>
  </si>
  <si>
    <t>Chennai Branch</t>
  </si>
  <si>
    <t>8c0f7bfc-276c-4883-a5e5-cd788f768448</t>
  </si>
  <si>
    <t>Anya Prabhu</t>
  </si>
  <si>
    <t>Failed</t>
  </si>
  <si>
    <t>b52faf7c-e341-43b0-8e93-1e949bb276fa</t>
  </si>
  <si>
    <t>Ekapad Gole</t>
  </si>
  <si>
    <t>4d3c0228-c910-4304-998c-c69bad60908e</t>
  </si>
  <si>
    <t>Sudiksha Chawla</t>
  </si>
  <si>
    <t>e3e408df-8ab2-4af6-8e12-f09158f4b325</t>
  </si>
  <si>
    <t>Varsha Mann</t>
  </si>
  <si>
    <t>923dc3a9-fb94-4e38-994e-24d9474dce07</t>
  </si>
  <si>
    <t>Theodore Chandran</t>
  </si>
  <si>
    <t>1b018e9f-c1d9-4335-9aea-1750e89f2193</t>
  </si>
  <si>
    <t>Edhitha Bhardwaj</t>
  </si>
  <si>
    <t>078ed5ed-d1ed-4dc3-9410-a3fed11a38b4</t>
  </si>
  <si>
    <t>Chandresh Patel</t>
  </si>
  <si>
    <t>5f985d0a-9738-4a30-a647-678e37de19de</t>
  </si>
  <si>
    <t>Janani Muni</t>
  </si>
  <si>
    <t>d3b4166e-2e13-4dd4-9b20-abdcdd79aa5d</t>
  </si>
  <si>
    <t>Shivansh Prabhu</t>
  </si>
  <si>
    <t>Hyderabad</t>
  </si>
  <si>
    <t>Hyderabad Branch</t>
  </si>
  <si>
    <t>a449609b-f5b8-4e98-a9e4-452f564bf33c</t>
  </si>
  <si>
    <t>Aditya Prakash</t>
  </si>
  <si>
    <t>ff59f00c-2f39-4fe2-bab6-ba18ce7b1bb0</t>
  </si>
  <si>
    <t>Ganga Contractor</t>
  </si>
  <si>
    <t>Mumbai</t>
  </si>
  <si>
    <t>Mumbai Branch</t>
  </si>
  <si>
    <t>267b619a-961c-43b1-ade5-663db4cc27b2</t>
  </si>
  <si>
    <t>Rushil Sachdeva</t>
  </si>
  <si>
    <t>c2f4e70f-7fae-4f16-a939-f3a4c40a5cb2</t>
  </si>
  <si>
    <t>Warinder Dada</t>
  </si>
  <si>
    <t>85c907e5-eae9-4ae5-8682-7335efa57459</t>
  </si>
  <si>
    <t>Ekalinga Divan</t>
  </si>
  <si>
    <t>70e4f242-5557-4d3b-8471-dd202db5a3b7</t>
  </si>
  <si>
    <t>Aachal Acharya</t>
  </si>
  <si>
    <t>Chandigarh</t>
  </si>
  <si>
    <t>Chandigarh Branch</t>
  </si>
  <si>
    <t>3c82845a-e21e-41a0-979c-169d33c2fc80</t>
  </si>
  <si>
    <t>Meera Oza</t>
  </si>
  <si>
    <t>Kolkata</t>
  </si>
  <si>
    <t>Kolkata Branch</t>
  </si>
  <si>
    <t>71777708-738b-4a22-8924-677a5afe3d58</t>
  </si>
  <si>
    <t>Reyansh Chauhan</t>
  </si>
  <si>
    <t>62518911-3e4e-49c6-9512-1bfc06323e10</t>
  </si>
  <si>
    <t>Dayita Das</t>
  </si>
  <si>
    <t>Gwalior</t>
  </si>
  <si>
    <t>Gwalior Branch</t>
  </si>
  <si>
    <t>5f6aa3d0-def8-4718-bd70-8b4b1aa7eed5</t>
  </si>
  <si>
    <t>Anthony Comar</t>
  </si>
  <si>
    <t>cff302b1-3087-4ca9-bbb2-ae97e574f2cd</t>
  </si>
  <si>
    <t>Upkaar Goyal</t>
  </si>
  <si>
    <t>Bangalore</t>
  </si>
  <si>
    <t>Bangalore Branch</t>
  </si>
  <si>
    <t>ba36b15c-06cd-4d6e-9643-b0cfe62776ea</t>
  </si>
  <si>
    <t>Barkha Ahluwalia</t>
  </si>
  <si>
    <t>Jaipur</t>
  </si>
  <si>
    <t>Jaipur Branch</t>
  </si>
  <si>
    <t>Reversed</t>
  </si>
  <si>
    <t>fd2a9cf1-c260-474a-bb91-1081a4ad46bd</t>
  </si>
  <si>
    <t>Zehaan Wali</t>
  </si>
  <si>
    <t>23cf92b2-3035-46ac-af8d-fc4e14970d8b</t>
  </si>
  <si>
    <t>Priya Kuruvilla</t>
  </si>
  <si>
    <t>6b8da0f4-ea1d-41c6-9a2c-43b02a799d36</t>
  </si>
  <si>
    <t>Chandani Walia</t>
  </si>
  <si>
    <t>91b14ab8-1c7a-449b-9db4-478f54442982</t>
  </si>
  <si>
    <t>Jack Sridhar</t>
  </si>
  <si>
    <t>Delhi</t>
  </si>
  <si>
    <t>Delhi Branch</t>
  </si>
  <si>
    <t>Yes</t>
  </si>
  <si>
    <t>543768cb-d86a-4628-81cc-f2b1022ca354</t>
  </si>
  <si>
    <t>Advik Natt</t>
  </si>
  <si>
    <t>9cd31713-6d99-4024-a213-95792bc7f88d</t>
  </si>
  <si>
    <t>David Dhaliwal</t>
  </si>
  <si>
    <t>346ce9f0-89d8-48f1-acd1-ed4e8636f0ce</t>
  </si>
  <si>
    <t>Vritti Arora</t>
  </si>
  <si>
    <t>e01dce9a-2b7b-4d91-bd8b-8b37c23211fd</t>
  </si>
  <si>
    <t>Bahadurjit Banerjee</t>
  </si>
  <si>
    <t>c6b86e5e-fd8f-43fc-b48e-afc11df5a541</t>
  </si>
  <si>
    <t>Kamala Dhaliwal</t>
  </si>
  <si>
    <t>bc60740d-e858-4f94-9566-1eef6497bdb8</t>
  </si>
  <si>
    <t>Jagrati Bhattacharyya</t>
  </si>
  <si>
    <t>Bhubaneswar</t>
  </si>
  <si>
    <t>Bhubaneswar Branch</t>
  </si>
  <si>
    <t>cb593236-b3a6-4ed6-af6f-590bd4786b1d</t>
  </si>
  <si>
    <t>Hritik Contractor</t>
  </si>
  <si>
    <t>4d1b7980-a305-408d-b097-e6e8096ebd45</t>
  </si>
  <si>
    <t>Alka Rao</t>
  </si>
  <si>
    <t>03aa27dd-e059-4e85-8505-b961b5a45294</t>
  </si>
  <si>
    <t>Aadhya Naidu</t>
  </si>
  <si>
    <t>391bab10-2f7c-4a05-8810-20c41309d4f9</t>
  </si>
  <si>
    <t>Ekalinga Master</t>
  </si>
  <si>
    <t>18bf3d1a-0cfd-4dd0-b243-96699d7c0148</t>
  </si>
  <si>
    <t>Aishani Sachdev</t>
  </si>
  <si>
    <t>71078ce7-dec7-4fa4-8933-4eca9aedb7f9</t>
  </si>
  <si>
    <t>Gopal Jaggi</t>
  </si>
  <si>
    <t>97a68b99-8cbc-4b28-bb0b-d4ed2c428ddc</t>
  </si>
  <si>
    <t>Manbir Golla</t>
  </si>
  <si>
    <t>663e9152-5f5c-4a5b-b9ef-5393b4b73a12</t>
  </si>
  <si>
    <t>Pooja Banerjee</t>
  </si>
  <si>
    <t>de2147f0-bc82-43b9-9e86-69c024ad0663</t>
  </si>
  <si>
    <t>Unnati Seth</t>
  </si>
  <si>
    <t>fdf4b68c-5590-4498-946b-8efbdc0a31bc</t>
  </si>
  <si>
    <t>Vihaan Chowdhury</t>
  </si>
  <si>
    <t>616fcc8c-56bc-4197-91cb-4b07d92c0fb1</t>
  </si>
  <si>
    <t>Yashoda Choudhury</t>
  </si>
  <si>
    <t>Ranchi</t>
  </si>
  <si>
    <t>Ranchi Branch</t>
  </si>
  <si>
    <t>00fd40bf-bf9d-4bff-993f-60f5eee6bb03</t>
  </si>
  <si>
    <t>Rishi Desai</t>
  </si>
  <si>
    <t>e6d0967c-f9d5-4e46-9f87-d564b671d413</t>
  </si>
  <si>
    <t>Garima Ray</t>
  </si>
  <si>
    <t>b34a6f74-ae8f-47ad-924f-86556889d99d</t>
  </si>
  <si>
    <t>Mitali Nigam</t>
  </si>
  <si>
    <t>2673fe87-e626-4a87-8ad7-3a10fa06f4c3</t>
  </si>
  <si>
    <t>Rachana Bansal</t>
  </si>
  <si>
    <t>b2ade9ec-6a44-455e-9378-1cb83e5dd5a2</t>
  </si>
  <si>
    <t>Matthew Ramachandran</t>
  </si>
  <si>
    <t>5f00cf03-ed87-484c-ba6c-eaa36f50bb7b</t>
  </si>
  <si>
    <t>Leela Ramachandran</t>
  </si>
  <si>
    <t>ccbaaeb4-e933-4e31-a0fa-d19de42b0aa6</t>
  </si>
  <si>
    <t>Jonathan Taneja</t>
  </si>
  <si>
    <t>b572bae1-9ed6-4f39-8bbc-059bafa3e368</t>
  </si>
  <si>
    <t>Hema Savant</t>
  </si>
  <si>
    <t>eb06c345-27b2-43fe-8b57-74abfe097181</t>
  </si>
  <si>
    <t>Laksh Naik</t>
  </si>
  <si>
    <t>51989afa-bed1-4325-a13d-95fbac40d879</t>
  </si>
  <si>
    <t>Ati Kalita</t>
  </si>
  <si>
    <t>6b9795cc-f800-41e7-9c05-f0ac55d1061a</t>
  </si>
  <si>
    <t>Warda Jayaraman</t>
  </si>
  <si>
    <t>ddc5a8ef-f22d-4453-84cd-2c189b907453</t>
  </si>
  <si>
    <t>Mekhala Sandhu</t>
  </si>
  <si>
    <t>1e819aad-5b5f-4e14-89a1-cfe9654b06b2</t>
  </si>
  <si>
    <t>Ucchal Deep</t>
  </si>
  <si>
    <t>9b35ff7f-9cff-4443-b980-d80117014e88</t>
  </si>
  <si>
    <t>Vinaya Singhal</t>
  </si>
  <si>
    <t>e9365338-4cc1-4aed-b986-b49160163f0c</t>
  </si>
  <si>
    <t>Isaac Sandal</t>
  </si>
  <si>
    <t>cbfa73b5-c97d-44c6-93c0-1aec270e805e</t>
  </si>
  <si>
    <t>Fitan Memon</t>
  </si>
  <si>
    <t>dc13cf47-0a1a-4aec-b1f4-81d7f5dc3816</t>
  </si>
  <si>
    <t>Mason Contractor</t>
  </si>
  <si>
    <t>80b3645d-74e2-4b56-9238-b906b291f579</t>
  </si>
  <si>
    <t>Kritika Wason</t>
  </si>
  <si>
    <t>488e03e5-d1b1-4069-958d-35616f0b201c</t>
  </si>
  <si>
    <t>Aahana Chahal</t>
  </si>
  <si>
    <t>893027bb-1105-4eb6-83fb-211687351dc0</t>
  </si>
  <si>
    <t>Vansha Rai</t>
  </si>
  <si>
    <t>7c0b8276-4c0c-4323-a876-980051a56c15</t>
  </si>
  <si>
    <t>Isaac Peri</t>
  </si>
  <si>
    <t>3576e0a5-4bd8-4887-921b-e05ad460de03</t>
  </si>
  <si>
    <t>Arin Chandra</t>
  </si>
  <si>
    <t>2983f870-78b7-44b1-b120-75bb4d3e2411</t>
  </si>
  <si>
    <t>Veda Dube</t>
  </si>
  <si>
    <t>609c294f-9192-4233-a3dd-df5fa7a26ec0</t>
  </si>
  <si>
    <t>Rudra Wason</t>
  </si>
  <si>
    <t>fb83ae2e-5fcb-4fbd-a252-2989f8f6d036</t>
  </si>
  <si>
    <t>Yauvani Rama</t>
  </si>
  <si>
    <t>2044b866-4e8f-4e20-8b6f-dc20136edf14</t>
  </si>
  <si>
    <t>Vritti Sabharwal</t>
  </si>
  <si>
    <t>ded29be0-13ca-445c-9df7-ed1134aa78c0</t>
  </si>
  <si>
    <t>Widisha Singhal</t>
  </si>
  <si>
    <t>00f36763-b751-4839-a3c3-06e6ff283c20</t>
  </si>
  <si>
    <t>Jagvi Balay</t>
  </si>
  <si>
    <t>64f9d004-e4bc-450d-85f7-65141003bd81</t>
  </si>
  <si>
    <t>Jagdish Sagar</t>
  </si>
  <si>
    <t>e0dab459-92a9-4cfa-a863-c17c4c2e79d2</t>
  </si>
  <si>
    <t>Orinder Mahajan</t>
  </si>
  <si>
    <t>1eecddea-2c95-41ee-8459-c0c59f8daf8e</t>
  </si>
  <si>
    <t>Tripti Chandran</t>
  </si>
  <si>
    <t>5c1c9ae5-b0a4-42e3-8660-e1fdb1a7d6ae</t>
  </si>
  <si>
    <t>Chandani Mammen</t>
  </si>
  <si>
    <t>de78ca4d-2ed2-44cd-a28f-a94e8ffd1722</t>
  </si>
  <si>
    <t>Wakeeta Sandhu</t>
  </si>
  <si>
    <t>c029cdf7-f81a-4da7-a31e-668415613c29</t>
  </si>
  <si>
    <t>Brinda Minhas</t>
  </si>
  <si>
    <t>908aad90-85d9-47c4-bd58-9f4ea733d8fe</t>
  </si>
  <si>
    <t>Upasna Wadhwa</t>
  </si>
  <si>
    <t>21c1fdd0-3a23-4942-bfa7-af092c88e295</t>
  </si>
  <si>
    <t>Hardik Savant</t>
  </si>
  <si>
    <t>f0cb015d-3171-453b-87ba-5557fbec4e39</t>
  </si>
  <si>
    <t>Vivaan Borra</t>
  </si>
  <si>
    <t>1be9cf2d-8c81-442b-8fd0-c6507395db90</t>
  </si>
  <si>
    <t>Radha Sridhar</t>
  </si>
  <si>
    <t>18bc22b5-59e0-45cd-84ed-d27c46df4a0a</t>
  </si>
  <si>
    <t>Maya Baria</t>
  </si>
  <si>
    <t>e1013214-d963-4673-b04d-89b8cf0abd4f</t>
  </si>
  <si>
    <t>Meera Sibal</t>
  </si>
  <si>
    <t>a88964d9-7341-43b3-806e-e0533e1b41bc</t>
  </si>
  <si>
    <t>Upma Srinivasan</t>
  </si>
  <si>
    <t>e450aa83-9876-4480-ae03-b2982067eac5</t>
  </si>
  <si>
    <t>Jacob Seth</t>
  </si>
  <si>
    <t>105c1746-11cb-46a6-aa58-8f90b2a6a346</t>
  </si>
  <si>
    <t>Lajita Pau</t>
  </si>
  <si>
    <t>7bb92b24-a7c0-4b38-ad91-ee31b5edce8e</t>
  </si>
  <si>
    <t>Isaac Raval</t>
  </si>
  <si>
    <t>f7fb5b22-544f-4ced-8121-9d190905075f</t>
  </si>
  <si>
    <t>Andrew Sani</t>
  </si>
  <si>
    <t>161e1c61-7aee-44af-97d6-641bcf2a8970</t>
  </si>
  <si>
    <t>Tamanna Chandra</t>
  </si>
  <si>
    <t>f9a0a188-3a48-4cef-b2d8-d4b75fddea00</t>
  </si>
  <si>
    <t>Vyanjana Raja</t>
  </si>
  <si>
    <t>52be5da1-8c4d-4670-a08d-6b8be4ae7497</t>
  </si>
  <si>
    <t>Kevin Rege</t>
  </si>
  <si>
    <t>0f8f54ca-9fb9-4785-8647-2468a004fa45</t>
  </si>
  <si>
    <t>Krisha Mammen</t>
  </si>
  <si>
    <t>fd1d3fde-3620-4c8f-b53c-4465a0cba4f6</t>
  </si>
  <si>
    <t>Kavya Sastry</t>
  </si>
  <si>
    <t>4d3fa55a-5762-4e29-ae84-5a66cfed93bd</t>
  </si>
  <si>
    <t>Jagat Hari</t>
  </si>
  <si>
    <t>d51f9b46-f368-4a09-ab13-0c6a18f47dd5</t>
  </si>
  <si>
    <t>Amruta Keer</t>
  </si>
  <si>
    <t>543c5d3a-323f-45ef-b855-f2c77adfbea8</t>
  </si>
  <si>
    <t>Ayushman Ranganathan</t>
  </si>
  <si>
    <t>7fbe0ba5-acbe-412f-a196-c7cc139ca37a</t>
  </si>
  <si>
    <t>Nandini Salvi</t>
  </si>
  <si>
    <t>04245ce4-504e-4b0e-be15-fe6c63669b23</t>
  </si>
  <si>
    <t>Chaaya Cheema</t>
  </si>
  <si>
    <t>31772850-4dc3-45a6-999d-39e5d903c7d4</t>
  </si>
  <si>
    <t>Veer Lalla</t>
  </si>
  <si>
    <t>53280ea1-dd41-4ed1-a9fd-e99721499e1f</t>
  </si>
  <si>
    <t>Daniel Sekhon</t>
  </si>
  <si>
    <t>d88899f6-ddce-4d44-87ff-c5048e5241a4</t>
  </si>
  <si>
    <t>Ethan Gill</t>
  </si>
  <si>
    <t>e3ac2b66-dc49-453f-8c82-8d0bc9c5549a</t>
  </si>
  <si>
    <t>Chanchal Kara</t>
  </si>
  <si>
    <t>0e104293-9725-463a-bc09-87fb54940434</t>
  </si>
  <si>
    <t>Yatan Bandi</t>
  </si>
  <si>
    <t>ab932225-5685-4051-84fe-8db07734d341</t>
  </si>
  <si>
    <t>Turvi Nayak</t>
  </si>
  <si>
    <t>66703732-f532-444b-8d11-2c9a9a2263b2</t>
  </si>
  <si>
    <t>Robert Lal</t>
  </si>
  <si>
    <t>86dc1157-e9fd-4e98-b293-cadc88641d75</t>
  </si>
  <si>
    <t>Bakhshi Kunda</t>
  </si>
  <si>
    <t>fef795f4-082a-4129-81ea-8b6ec2132853</t>
  </si>
  <si>
    <t>Krishna Sarna</t>
  </si>
  <si>
    <t>80d701ba-98a7-4f51-8f3d-0737355f185e</t>
  </si>
  <si>
    <t>Ayush Zachariah</t>
  </si>
  <si>
    <t>6b7f0cf2-9089-45ed-badc-de6c072bcbc9</t>
  </si>
  <si>
    <t>Jeet Chawla</t>
  </si>
  <si>
    <t>8fa3c024-3a65-4814-9736-7a75349817f4</t>
  </si>
  <si>
    <t>Yadavi Wason</t>
  </si>
  <si>
    <t>fde8bf83-3f38-4327-b632-ce0b7418dd05</t>
  </si>
  <si>
    <t>Sanya Jaggi</t>
  </si>
  <si>
    <t>dc920ff0-4476-4233-8a68-d1b76806e11c</t>
  </si>
  <si>
    <t>Jhalak Walia</t>
  </si>
  <si>
    <t>02403cc4-f717-4702-a502-8ca1f809e7ed</t>
  </si>
  <si>
    <t>Ishaan Vaidya</t>
  </si>
  <si>
    <t>ce1ee09b-53e7-433b-8565-78b87cc2a845</t>
  </si>
  <si>
    <t>Amrita Pathak</t>
  </si>
  <si>
    <t>229a2356-98c0-4c9e-a853-4c8b1bb64a48</t>
  </si>
  <si>
    <t>George Sarraf</t>
  </si>
  <si>
    <t>e3df7035-07a3-4750-937f-b203c023b0c9</t>
  </si>
  <si>
    <t>Maanav Madan</t>
  </si>
  <si>
    <t>2c09fcbb-ad28-476d-8970-1ce53adf5133</t>
  </si>
  <si>
    <t>Pavani Sampath</t>
  </si>
  <si>
    <t>866fc4df-4f97-4dea-9576-0a0c5b3c3219</t>
  </si>
  <si>
    <t>Bimala Ratta</t>
  </si>
  <si>
    <t>749658d6-ad8b-4977-9798-875258c7e917</t>
  </si>
  <si>
    <t>Siya Sahota</t>
  </si>
  <si>
    <t>1fd55cf2-fd94-4d94-9af8-3edfb4331750</t>
  </si>
  <si>
    <t>Leena Sheth</t>
  </si>
  <si>
    <t>dc665109-864f-479e-817b-1b24c049abe3</t>
  </si>
  <si>
    <t>Advay Tripathi</t>
  </si>
  <si>
    <t>f0d6a2c6-b47b-4c4f-8704-ca522dc40164</t>
  </si>
  <si>
    <t>Nathan Kaul</t>
  </si>
  <si>
    <t>a75c3412-f4c8-4590-978c-4a96dd26a8ab</t>
  </si>
  <si>
    <t>Harini Saran</t>
  </si>
  <si>
    <t>4777f9b4-58d1-475a-90b0-145a70b15ac0</t>
  </si>
  <si>
    <t>Simon Raju</t>
  </si>
  <si>
    <t>82bd9c31-9b2b-45a9-9919-fe6ba777f73f</t>
  </si>
  <si>
    <t>Falan Ravi</t>
  </si>
  <si>
    <t>04846856-a1c8-410e-a7e5-2906406e8941</t>
  </si>
  <si>
    <t>Megha Raja</t>
  </si>
  <si>
    <t>07c96aad-61bf-4626-a9ae-0a34209494c7</t>
  </si>
  <si>
    <t>Zilmil Solanki</t>
  </si>
  <si>
    <t>d0d15529-e4f3-43a9-b304-54053e16aa01</t>
  </si>
  <si>
    <t>Pahal Shroff</t>
  </si>
  <si>
    <t>24baa7b0-5391-46ab-94ca-b5583a41af18</t>
  </si>
  <si>
    <t>Thomas Rattan</t>
  </si>
  <si>
    <t>d983e39e-6827-42f2-b347-d58adf3a80ac</t>
  </si>
  <si>
    <t>Radha Borde</t>
  </si>
  <si>
    <t>d81a0385-2d54-4be8-9e57-1f87684e76bd</t>
  </si>
  <si>
    <t>Eta Venkataraman</t>
  </si>
  <si>
    <t>8ef8c848-20b8-4493-985c-24f2b925610c</t>
  </si>
  <si>
    <t>Turvi Buch</t>
  </si>
  <si>
    <t>9a2984ac-e042-447f-ac04-e78645b18881</t>
  </si>
  <si>
    <t>Advaith Sankar</t>
  </si>
  <si>
    <t>83402b0a-4b08-4921-b79b-14d50a0be9c2</t>
  </si>
  <si>
    <t>Vrinda Nayak</t>
  </si>
  <si>
    <t>3758eba4-6ac8-417a-8063-60066c461d50</t>
  </si>
  <si>
    <t>Pallavi Bumb</t>
  </si>
  <si>
    <t>274f4733-1b44-40a1-91f5-090c42cd313a</t>
  </si>
  <si>
    <t>Unnati Dugar</t>
  </si>
  <si>
    <t>3bf12f44-d2b7-4a9f-ba2e-a394943bd67d</t>
  </si>
  <si>
    <t>Viraj Bhatia</t>
  </si>
  <si>
    <t>e20739e0-7851-438b-9d11-83e648c78598</t>
  </si>
  <si>
    <t>Mugdha Panchal</t>
  </si>
  <si>
    <t>bab859d6-2e31-4ecb-b3c0-b1d06f0b6a59</t>
  </si>
  <si>
    <t>David Bhakta</t>
  </si>
  <si>
    <t>d63db32e-5451-4226-846b-a0c0bce4885b</t>
  </si>
  <si>
    <t>Laksh Sarin</t>
  </si>
  <si>
    <t>70c6689c-c901-4564-a001-fcc948b02ee9</t>
  </si>
  <si>
    <t>Lajita Malhotra</t>
  </si>
  <si>
    <t>a82d7285-ef5a-495a-8c64-6e5926405552</t>
  </si>
  <si>
    <t>Ucchal Morar</t>
  </si>
  <si>
    <t>114778ff-a257-4de1-9b40-56e31cd83627</t>
  </si>
  <si>
    <t>Hemang Srinivasan</t>
  </si>
  <si>
    <t>025fcb06-3964-4c6a-89f8-eac44e04116e</t>
  </si>
  <si>
    <t>Unni Chander</t>
  </si>
  <si>
    <t>f2667ad3-06c6-4e44-aa86-3ae43c38838a</t>
  </si>
  <si>
    <t>Dhriti Bhatti</t>
  </si>
  <si>
    <t>80a03d5e-643f-4808-b7b1-c4cae624906d</t>
  </si>
  <si>
    <t>Arjun Oza</t>
  </si>
  <si>
    <t>f6f2f9bf-f03f-433e-ab6e-d746131bf851</t>
  </si>
  <si>
    <t>Abhiram Dua</t>
  </si>
  <si>
    <t>d7b4ca6f-776d-4e9a-bfb0-8eeb310841de</t>
  </si>
  <si>
    <t>Banjeet Mahal</t>
  </si>
  <si>
    <t>0979e55f-2627-4240-b1cb-1438376c5179</t>
  </si>
  <si>
    <t>Vasudha Nayar</t>
  </si>
  <si>
    <t>4b101ce1-b9b5-4a30-b259-9c116ce40cfe</t>
  </si>
  <si>
    <t>Daksha Dhawan</t>
  </si>
  <si>
    <t>ffeadd46-0ffa-4a8e-945f-7e44548c9dc9</t>
  </si>
  <si>
    <t>Harini Ravel</t>
  </si>
  <si>
    <t>9151f2c2-7655-411c-9fba-4133ff27b9eb</t>
  </si>
  <si>
    <t>Pranav Dave</t>
  </si>
  <si>
    <t>8d1c1aa5-6de3-487b-a94e-6b2e42444250</t>
  </si>
  <si>
    <t>Faraj Rout</t>
  </si>
  <si>
    <t>71695f06-5705-4689-bb51-16a89ccee2cc</t>
  </si>
  <si>
    <t>Luke Luthra</t>
  </si>
  <si>
    <t>ebec190b-6a64-4f0d-82d6-6ee71a4ab11d</t>
  </si>
  <si>
    <t>Urmi Patla</t>
  </si>
  <si>
    <t>b37a1d58-d951-4dd7-bee5-54879fc9a695</t>
  </si>
  <si>
    <t>Chanakya Dhar</t>
  </si>
  <si>
    <t>0072d9f5-5d55-4b21-bab4-7e9db5443b65</t>
  </si>
  <si>
    <t>Yashodhara Ganesan</t>
  </si>
  <si>
    <t>9f09da20-2fca-4436-9c05-7b04386594d9</t>
  </si>
  <si>
    <t>Ranveer Rout</t>
  </si>
  <si>
    <t>ce934bd4-15e5-494d-aa5d-a43abd4f535e</t>
  </si>
  <si>
    <t>Wakeeta Ratti</t>
  </si>
  <si>
    <t>34d56187-c08e-47ca-afda-4e8766de448f</t>
  </si>
  <si>
    <t>Abhimanyu Sama</t>
  </si>
  <si>
    <t>d3df971f-ca42-4077-86c3-475c12965f7d</t>
  </si>
  <si>
    <t>Lohit Bajwa</t>
  </si>
  <si>
    <t>038466ef-252a-47ce-a87e-71662abc1637</t>
  </si>
  <si>
    <t>Widisha Luthra</t>
  </si>
  <si>
    <t>7d8ada5d-130d-4918-b0b5-6d6ea8edabfa</t>
  </si>
  <si>
    <t>Nandini Borra</t>
  </si>
  <si>
    <t>cb0a5b22-ebde-4c29-a9d1-a7038192cfac</t>
  </si>
  <si>
    <t>Oscar Naidu</t>
  </si>
  <si>
    <t>bbe5d2c6-4408-471b-aef7-9c81c034dd8a</t>
  </si>
  <si>
    <t>Ishanvi Dixit</t>
  </si>
  <si>
    <t>0bc8b463-f65d-4856-9678-0e41337fa409</t>
  </si>
  <si>
    <t>Azaan Kota</t>
  </si>
  <si>
    <t>df7f7ea9-393c-4be3-a7da-184827e7c971</t>
  </si>
  <si>
    <t>Patrick Oommen</t>
  </si>
  <si>
    <t>ca3944e0-0434-4e15-9853-3b4d8ff76c43</t>
  </si>
  <si>
    <t>Turvi Dara</t>
  </si>
  <si>
    <t>31c391b1-54ff-4b98-b7e1-d883dfb2e8f7</t>
  </si>
  <si>
    <t>Aarnav Kant</t>
  </si>
  <si>
    <t>f8d360a4-92d3-482f-ac1e-db9b1e0c7ad6</t>
  </si>
  <si>
    <t>Madhav Shenoy</t>
  </si>
  <si>
    <t>8cdf7735-0f19-4d74-b907-b8634fcbef71</t>
  </si>
  <si>
    <t>Lohit Kurian</t>
  </si>
  <si>
    <t>cd0005e8-48e0-443c-9e75-4d0a01235d95</t>
  </si>
  <si>
    <t>Harsh Nayak</t>
  </si>
  <si>
    <t>18301c0d-a988-4a52-895c-c28e69e89c6f</t>
  </si>
  <si>
    <t>Vasana Srinivas</t>
  </si>
  <si>
    <t>b1a22d3e-dae5-4172-bb8e-234aa505726a</t>
  </si>
  <si>
    <t>Yashawini Handa</t>
  </si>
  <si>
    <t>775fe6a2-57d3-43d2-ab9c-30ac3b2dfd90</t>
  </si>
  <si>
    <t>Timothy Bhagat</t>
  </si>
  <si>
    <t>a7d27da1-6997-450b-b9f2-2ec14730e4fb</t>
  </si>
  <si>
    <t>Zinal Raju</t>
  </si>
  <si>
    <t>6ff23ad4-3477-4f63-886d-92ae7a84daa9</t>
  </si>
  <si>
    <t>Logan Hayre</t>
  </si>
  <si>
    <t>b967b17a-9a8e-4699-9e68-66173240e765</t>
  </si>
  <si>
    <t>Yutika Babu</t>
  </si>
  <si>
    <t>ec72fa74-1baf-4b0f-8dd2-057e4caf2bb9</t>
  </si>
  <si>
    <t>Xavier Varughese</t>
  </si>
  <si>
    <t>8d47240b-470c-4a5e-81e6-2881b806e112</t>
  </si>
  <si>
    <t>Elijah Sen</t>
  </si>
  <si>
    <t>de32ee5c-2963-4b68-9314-37c9510fee55</t>
  </si>
  <si>
    <t>Amrita Baria</t>
  </si>
  <si>
    <t>2e1b58e1-c7b1-4714-925e-0e2c4a339fd9</t>
  </si>
  <si>
    <t>Frederick Prabhakar</t>
  </si>
  <si>
    <t>66a00d9e-7e1e-4b78-af0a-dd80b7ca6a98</t>
  </si>
  <si>
    <t>Amara Chacko</t>
  </si>
  <si>
    <t>64c9873a-351a-4b84-b3b6-d42643bb8437</t>
  </si>
  <si>
    <t>Inaya Prabhakar</t>
  </si>
  <si>
    <t>1533567e-4d20-4132-b86f-0a37f949ebf9</t>
  </si>
  <si>
    <t>Triveni Sanghvi</t>
  </si>
  <si>
    <t>fb2a2ce1-c11d-4710-81a4-1a8984b53b93</t>
  </si>
  <si>
    <t>Jacob Char</t>
  </si>
  <si>
    <t>b9408151-3d66-4ea5-95fa-1f42eb764169</t>
  </si>
  <si>
    <t>Pooja Baral</t>
  </si>
  <si>
    <t>f4181a0c-7a83-49fd-8ddd-b24a02e1d276</t>
  </si>
  <si>
    <t>Harshil Ramaswamy</t>
  </si>
  <si>
    <t>877c8c90-7090-4c6b-a2d5-68a10b5e84e1</t>
  </si>
  <si>
    <t>Charles Devi</t>
  </si>
  <si>
    <t>815e14eb-2098-46d6-bb0d-3339ed33578a</t>
  </si>
  <si>
    <t>Hredhaan Aurora</t>
  </si>
  <si>
    <t>1128e494-1080-4a5e-828c-5aaf607929b5</t>
  </si>
  <si>
    <t>Indrajit Brar</t>
  </si>
  <si>
    <t>aabb59f2-7170-4ec0-bfce-44f002b48f29</t>
  </si>
  <si>
    <t>Eta Zacharia</t>
  </si>
  <si>
    <t>11d601f9-4b5f-488a-a640-674c9e151b0a</t>
  </si>
  <si>
    <t>Henry Ratta</t>
  </si>
  <si>
    <t>863d696a-f19f-4eb7-a47a-9e3f926b0fbf</t>
  </si>
  <si>
    <t>Upasna Dash</t>
  </si>
  <si>
    <t>7197feb1-0e7a-4187-93de-5e7697d34253</t>
  </si>
  <si>
    <t>Janani Saxena</t>
  </si>
  <si>
    <t>0d30f1d0-c566-4826-ad70-7f9f4d6e9881</t>
  </si>
  <si>
    <t>Madhavi Sama</t>
  </si>
  <si>
    <t>d724fb28-9add-4067-9cff-97797130d7e3</t>
  </si>
  <si>
    <t>Advika Sachdev</t>
  </si>
  <si>
    <t>9950064d-b87b-4f55-b0f9-02ee6066147c</t>
  </si>
  <si>
    <t>Chasmum Ganesan</t>
  </si>
  <si>
    <t>ab0e7817-6bb8-4dd9-91c6-9f559f916637</t>
  </si>
  <si>
    <t>Ayush Pai</t>
  </si>
  <si>
    <t>82979aa8-fa0e-497d-b8cd-8b19d74190b3</t>
  </si>
  <si>
    <t>Anthony Bhalla</t>
  </si>
  <si>
    <t>7310682f-d84d-4c3c-a24d-29e40a60ee5a</t>
  </si>
  <si>
    <t>Indrajit Zachariah</t>
  </si>
  <si>
    <t>ceef5660-bdb6-47d2-bfe7-407928ba0309</t>
  </si>
  <si>
    <t>Abhiram Shah</t>
  </si>
  <si>
    <t>6c504093-65a3-4d67-bc20-0a7237e53eea</t>
  </si>
  <si>
    <t>Arin Venkatesh</t>
  </si>
  <si>
    <t>68324606-5422-43fe-a453-66e17793da37</t>
  </si>
  <si>
    <t>Noah Puri</t>
  </si>
  <si>
    <t>ba67980f-f576-4933-b59a-36e560e42740</t>
  </si>
  <si>
    <t>Nilima Dutt</t>
  </si>
  <si>
    <t>c4067a04-c825-416f-9eca-54f777499c5b</t>
  </si>
  <si>
    <t>Eta Divan</t>
  </si>
  <si>
    <t>77323c98-1997-4c10-a66e-558050dc6213</t>
  </si>
  <si>
    <t>Darika Rao</t>
  </si>
  <si>
    <t>285da30d-334e-46dd-a647-627a5d6d0c1f</t>
  </si>
  <si>
    <t>Chakradhar Nanda</t>
  </si>
  <si>
    <t>85bd577f-a5ae-4860-b903-0a5576e75ce7</t>
  </si>
  <si>
    <t>Jeremiah Wason</t>
  </si>
  <si>
    <t>f70dbb59-c490-4182-903d-6c5793c03458</t>
  </si>
  <si>
    <t>Aarnav Dey</t>
  </si>
  <si>
    <t>6296fb0b-0fea-451b-b564-784f265410a6</t>
  </si>
  <si>
    <t>Kamala Karnik</t>
  </si>
  <si>
    <t>97c34e36-9e4a-49fb-8ba6-c4c6d79ea64d</t>
  </si>
  <si>
    <t>Falguni Mukhopadhyay</t>
  </si>
  <si>
    <t>301b73ed-a5ed-4932-9ff0-dd35b1a7457c</t>
  </si>
  <si>
    <t>Vincent Kara</t>
  </si>
  <si>
    <t>4b20ef1f-2692-43bf-ada8-d664d089f7fb</t>
  </si>
  <si>
    <t>Daksh Deep</t>
  </si>
  <si>
    <t>98bb8adc-733a-4d76-be0f-ab0411063ccc</t>
  </si>
  <si>
    <t>Indrajit Loke</t>
  </si>
  <si>
    <t>894cfd1a-7b61-480c-ab28-bf77784a509e</t>
  </si>
  <si>
    <t>Oni Memon</t>
  </si>
  <si>
    <t>04f69ce1-ead1-480f-b2c5-a99dc650d3b2</t>
  </si>
  <si>
    <t>Rushil Nagarajan</t>
  </si>
  <si>
    <t>85346cb4-fe6c-4c0e-a87b-dfd18517969b</t>
  </si>
  <si>
    <t>Dhriti Batta</t>
  </si>
  <si>
    <t>cd0b6f33-8ad2-4f2b-acbb-a762ea2ec9c0</t>
  </si>
  <si>
    <t>Lakshit Tella</t>
  </si>
  <si>
    <t>4f59e7a5-8175-46dc-af06-b61cd22b3606</t>
  </si>
  <si>
    <t>Simon Bava</t>
  </si>
  <si>
    <t>db684545-7495-414b-9919-1560cb2ea76c</t>
  </si>
  <si>
    <t>Timothy Mitra</t>
  </si>
  <si>
    <t>dac8a6e8-0146-43e8-9a90-8e675f9fbaa8</t>
  </si>
  <si>
    <t>Yashvi Mammen</t>
  </si>
  <si>
    <t>964ede1d-1f81-4d58-86bd-4c328f060ca3</t>
  </si>
  <si>
    <t>Qushi Comar</t>
  </si>
  <si>
    <t>79320d21-8bc4-4e00-85e0-8ce4a4ab42b4</t>
  </si>
  <si>
    <t>Ekanta Goel</t>
  </si>
  <si>
    <t>b9b81ddb-0c70-476f-be60-f67e451e0090</t>
  </si>
  <si>
    <t>Deepa Om</t>
  </si>
  <si>
    <t>491fc7cd-9009-41e2-9f2c-c5aaff219d75</t>
  </si>
  <si>
    <t>Jyoti Ravi</t>
  </si>
  <si>
    <t>03fc22d3-0e5a-4c71-aacc-4b5588d20b7b</t>
  </si>
  <si>
    <t>Ekiya Chhabra</t>
  </si>
  <si>
    <t>3e7a498c-9e3a-4b87-8680-5a5436021263</t>
  </si>
  <si>
    <t>Warhi Hayre</t>
  </si>
  <si>
    <t>107bd4a3-9d8e-43ee-a0df-31b57b65eed2</t>
  </si>
  <si>
    <t>Hemang Khare</t>
  </si>
  <si>
    <t>28fa62df-63a8-4908-b601-bffd24303acf</t>
  </si>
  <si>
    <t>Baghyawati Barad</t>
  </si>
  <si>
    <t>edbfa1b1-f134-4e41-81c4-7740805dacd9</t>
  </si>
  <si>
    <t>Jeremiah Sekhon</t>
  </si>
  <si>
    <t>8cd074cb-60ce-4449-ba5d-7751a3b9d2b3</t>
  </si>
  <si>
    <t>Andrew Ganesan</t>
  </si>
  <si>
    <t>94558069-8581-4de5-8fcc-00e3e541e452</t>
  </si>
  <si>
    <t>Teerth Thaman</t>
  </si>
  <si>
    <t>1b09dede-e649-402c-bde0-5bd7576d4ac5</t>
  </si>
  <si>
    <t>Darpan Biswas</t>
  </si>
  <si>
    <t>97cc1ed6-4e33-46b4-9967-65b70079d233</t>
  </si>
  <si>
    <t>Zayyan Naik</t>
  </si>
  <si>
    <t>ee9a24cd-a4e7-4264-9a1f-b39a49aafdd2</t>
  </si>
  <si>
    <t>Aarini Shanker</t>
  </si>
  <si>
    <t>c40c55e5-d888-4870-a6e1-bd7b2dc577b4</t>
  </si>
  <si>
    <t>Lajita Agrawal</t>
  </si>
  <si>
    <t>fed18fd2-9154-45b9-976b-730767ebcd27</t>
  </si>
  <si>
    <t>Siya Narang</t>
  </si>
  <si>
    <t>e8058d57-cc77-4809-8470-462eeb4c4014</t>
  </si>
  <si>
    <t>Lekha Jani</t>
  </si>
  <si>
    <t>f108d82f-7113-4b81-8232-01951f8e8d35</t>
  </si>
  <si>
    <t>Anvi Sarin</t>
  </si>
  <si>
    <t>85f4e337-427e-4971-b55c-109b7de85a86</t>
  </si>
  <si>
    <t>Nimrat Patel</t>
  </si>
  <si>
    <t>7d8c86d0-e566-4bff-a2ef-53a5eb2a8187</t>
  </si>
  <si>
    <t>Qushi Lanka</t>
  </si>
  <si>
    <t>614c74f4-661b-409a-afd5-caf0c779a143</t>
  </si>
  <si>
    <t>Baghyawati Sant</t>
  </si>
  <si>
    <t>ce03b15d-cb11-430c-bbf4-84d3aa6a6355</t>
  </si>
  <si>
    <t>Udarsh Yadav</t>
  </si>
  <si>
    <t>42738895-c3c1-4b52-bb44-636b1d719097</t>
  </si>
  <si>
    <t>Devansh Shanker</t>
  </si>
  <si>
    <t>c2132f8e-95c3-433d-9774-3ea3e32ccba4</t>
  </si>
  <si>
    <t>Darpan Dave</t>
  </si>
  <si>
    <t>8390a471-955f-4080-8301-aa1483fbccad</t>
  </si>
  <si>
    <t>Mugdha Bumb</t>
  </si>
  <si>
    <t>e1eb0ffd-9302-4b1b-8d09-498169aa46be</t>
  </si>
  <si>
    <t>Adweta Mitra</t>
  </si>
  <si>
    <t>eb328eff-d2bd-42e2-bb7f-7b59c49e04dc</t>
  </si>
  <si>
    <t>Inaya Chhabra</t>
  </si>
  <si>
    <t>4dcc110d-2caf-4b29-8e4a-0537e0115862</t>
  </si>
  <si>
    <t>Shaurya Swaminathan</t>
  </si>
  <si>
    <t>78ae1381-a4de-44e2-bbfb-a0e0e753d570</t>
  </si>
  <si>
    <t>Kabir Hegde</t>
  </si>
  <si>
    <t>5849f022-9ec3-413b-b772-7049df075710</t>
  </si>
  <si>
    <t>Tanvi Ahuja</t>
  </si>
  <si>
    <t>eb1a8602-868d-4bd2-996a-8f4d8fbd9943</t>
  </si>
  <si>
    <t>Alexander Nagarajan</t>
  </si>
  <si>
    <t>a1378b36-bfc8-4385-bfa3-012164ee41f1</t>
  </si>
  <si>
    <t>Veda Merchant</t>
  </si>
  <si>
    <t>f207c059-bf5c-4ce6-8b4b-ab7503bd003b</t>
  </si>
  <si>
    <t>Thomas Sidhu</t>
  </si>
  <si>
    <t>a415a509-2303-444d-9939-15847e20e63d</t>
  </si>
  <si>
    <t>Samuel Chanda</t>
  </si>
  <si>
    <t>6aac1c96-7047-4d11-b27d-44944f72e6a8</t>
  </si>
  <si>
    <t>Nidhi Jayaraman</t>
  </si>
  <si>
    <t>af063ceb-893a-4311-86f3-091a59c7647f</t>
  </si>
  <si>
    <t>Eshana Zachariah</t>
  </si>
  <si>
    <t>a905b04c-04aa-4fad-9365-6c56d92f356e</t>
  </si>
  <si>
    <t>Upma Sha</t>
  </si>
  <si>
    <t>ab07f7cf-1b90-4c14-9cbd-f87d2401eb10</t>
  </si>
  <si>
    <t>Ladli Madan</t>
  </si>
  <si>
    <t>f17acc22-46dd-4a03-a09e-66797fc864f2</t>
  </si>
  <si>
    <t>Noah Bawa</t>
  </si>
  <si>
    <t>a59c225b-8bc7-49c5-819b-5f2cd76d52a6</t>
  </si>
  <si>
    <t>Ojasvi Sani</t>
  </si>
  <si>
    <t>0ea3bd1b-a9f6-4ccd-a8e1-90b6a0cbabf8</t>
  </si>
  <si>
    <t>Pranit More</t>
  </si>
  <si>
    <t>7ac9c83a-885d-4904-8023-0c6ff75cfc85</t>
  </si>
  <si>
    <t>Netra Puri</t>
  </si>
  <si>
    <t>c6a6588e-3486-401f-8261-2cfedcf17d9b</t>
  </si>
  <si>
    <t>Anmol Bandi</t>
  </si>
  <si>
    <t>3a02fb56-d851-4da2-a7a2-e7bf539b47c1</t>
  </si>
  <si>
    <t>Kiaan Kuruvilla</t>
  </si>
  <si>
    <t>79dd9b16-3d1e-4196-98e8-42740ba73378</t>
  </si>
  <si>
    <t>Nachiket Sarna</t>
  </si>
  <si>
    <t>319c565a-17ab-4abe-ae39-658ff82398e6</t>
  </si>
  <si>
    <t>Ayushman Nadig</t>
  </si>
  <si>
    <t>8726924e-e736-4152-a600-93f25a82297a</t>
  </si>
  <si>
    <t>Thomas Sundaram</t>
  </si>
  <si>
    <t>45628100-f3f1-4308-a159-4cf27ef61300</t>
  </si>
  <si>
    <t>Gayathri Dugar</t>
  </si>
  <si>
    <t>b8269c51-66e6-41bd-981c-bd21dc71dc12</t>
  </si>
  <si>
    <t>Dhriti Chokshi</t>
  </si>
  <si>
    <t>910546a5-cc88-4186-8343-ce556acd4197</t>
  </si>
  <si>
    <t>Lohit Memon</t>
  </si>
  <si>
    <t>51161d93-6376-4992-8862-8a8f73274de8</t>
  </si>
  <si>
    <t>Baghyawati Kale</t>
  </si>
  <si>
    <t>97268ff9-634c-4609-9b5a-ce1b575d09bf</t>
  </si>
  <si>
    <t>Anya Dasgupta</t>
  </si>
  <si>
    <t>c9d0af20-d50b-46a5-b8b1-9f5a32fa9092</t>
  </si>
  <si>
    <t>Umang Dutt</t>
  </si>
  <si>
    <t>a99bd63e-5258-48d7-9ac8-0c5f02481d68</t>
  </si>
  <si>
    <t>Meghana Vasa</t>
  </si>
  <si>
    <t>0f6a1ea5-9afb-4345-b77d-e7591335d270</t>
  </si>
  <si>
    <t>Urvi Ganesan</t>
  </si>
  <si>
    <t>26ca49c6-d6d4-43b5-99b0-93d06755c7fa</t>
  </si>
  <si>
    <t>Yahvi Nori</t>
  </si>
  <si>
    <t>2c90d6f2-00fb-4e2f-b3ff-5eafcd96f7e9</t>
  </si>
  <si>
    <t>Raghav Lata</t>
  </si>
  <si>
    <t>1a0b103c-7fbf-4d11-8779-c4ed13986aa4</t>
  </si>
  <si>
    <t>Darpan Bose</t>
  </si>
  <si>
    <t>a3f93225-85c6-4a01-b210-ef59d3c352fc</t>
  </si>
  <si>
    <t>Meghana Chaudhry</t>
  </si>
  <si>
    <t>1d92b0c3-2ddc-4ae9-8dd8-8650c3a6239d</t>
  </si>
  <si>
    <t>Damini Mammen</t>
  </si>
  <si>
    <t>5217e86d-17f3-4b6d-b430-f4d08a939a4f</t>
  </si>
  <si>
    <t>Tarak Chahal</t>
  </si>
  <si>
    <t>28f163ec-8016-46b3-bbdb-fd5093ce0ee5</t>
  </si>
  <si>
    <t>Sathvik Banerjee</t>
  </si>
  <si>
    <t>69df0caf-ba2a-4b78-8d72-b6a117af3bd9</t>
  </si>
  <si>
    <t>Nakul Shan</t>
  </si>
  <si>
    <t>20712dae-f3a4-40e9-a123-c5ee6b9c4ac0</t>
  </si>
  <si>
    <t>Gaurangi Chaudhry</t>
  </si>
  <si>
    <t>780dd334-a9fb-4398-9a4e-690436194f52</t>
  </si>
  <si>
    <t>Bachittar Palla</t>
  </si>
  <si>
    <t>6247563c-a13f-4f8e-b730-72c07aff5309</t>
  </si>
  <si>
    <t>Neel Bali</t>
  </si>
  <si>
    <t>4d1cf2c4-ed9a-4802-9646-e8050cf3b564</t>
  </si>
  <si>
    <t>Advika Mall</t>
  </si>
  <si>
    <t>503bb24c-12e6-4a4a-b630-45254f982fac</t>
  </si>
  <si>
    <t>Kai Pandya</t>
  </si>
  <si>
    <t>7b2b0a33-f86e-48d5-b26f-badeb1272990</t>
  </si>
  <si>
    <t>Chatresh Issac</t>
  </si>
  <si>
    <t>8d316704-a9d8-4707-aeb6-57eae4ef9bea</t>
  </si>
  <si>
    <t>Jai Choudhry</t>
  </si>
  <si>
    <t>f9aee4b5-e22d-4fdc-b409-a10666068039</t>
  </si>
  <si>
    <t>Omya Parsa</t>
  </si>
  <si>
    <t>827bc546-1bd0-4e69-9d28-a02c8d851be8</t>
  </si>
  <si>
    <t>Aadhya Sagar</t>
  </si>
  <si>
    <t>36c7f2ab-9aea-4a1e-a1d3-7088ea4dd258</t>
  </si>
  <si>
    <t>Rachana Radhakrishnan</t>
  </si>
  <si>
    <t>b565a4f8-0c8a-496e-8ea7-7f46d05e65d0</t>
  </si>
  <si>
    <t>Abhimanyu Khalsa</t>
  </si>
  <si>
    <t>eeadc24e-4a5b-4d24-8202-a8a9a53cb2fb</t>
  </si>
  <si>
    <t>Rayaan Bhattacharyya</t>
  </si>
  <si>
    <t>71d75907-80c9-41f5-b842-003289bebe2e</t>
  </si>
  <si>
    <t>Varenya Dhaliwal</t>
  </si>
  <si>
    <t>41158a38-4f6f-4e62-8c37-7c7dcc2098ae</t>
  </si>
  <si>
    <t>Aachal Mann</t>
  </si>
  <si>
    <t>53c5db3a-442b-4188-bd5b-6030ee5a95ce</t>
  </si>
  <si>
    <t>Umang Gokhale</t>
  </si>
  <si>
    <t>d04c0b0a-5b7e-448b-a152-29d410b94690</t>
  </si>
  <si>
    <t>Amaira Shankar</t>
  </si>
  <si>
    <t>1ed4f179-4e70-4632-a1d7-13b013cae6b1</t>
  </si>
  <si>
    <t>Ishani Uppal</t>
  </si>
  <si>
    <t>412dc2b3-0f2d-4d77-aa74-fcc63a02fc36</t>
  </si>
  <si>
    <t>Vasana Dhar</t>
  </si>
  <si>
    <t>593947ec-7bdb-40f1-b950-3389b6552447</t>
  </si>
  <si>
    <t>Aradhana Parmar</t>
  </si>
  <si>
    <t>7ca06469-566e-46a0-a598-1e0ef3d4a0aa</t>
  </si>
  <si>
    <t>Divya Din</t>
  </si>
  <si>
    <t>bd06b020-2645-4ba7-b80d-47cc5dbe036a</t>
  </si>
  <si>
    <t>Charan Borra</t>
  </si>
  <si>
    <t>ddb55507-6ba0-4431-9e64-d57118df6bd9</t>
  </si>
  <si>
    <t>Rishi Lanka</t>
  </si>
  <si>
    <t>2b87a63e-fbe7-476c-8276-bd0a8c64d5e7</t>
  </si>
  <si>
    <t>Anthony Balakrishnan</t>
  </si>
  <si>
    <t>6cd4641a-f32d-45db-8c1e-e4b90449a466</t>
  </si>
  <si>
    <t>Naveen Sachdeva</t>
  </si>
  <si>
    <t>276bd213-49b5-4e12-8bdf-bd342c08e899</t>
  </si>
  <si>
    <t>Rudra Ravel</t>
  </si>
  <si>
    <t>9b510770-74b4-4885-83e8-bd821ab5c3a8</t>
  </si>
  <si>
    <t>Krish Nagy</t>
  </si>
  <si>
    <t>f94c66f0-af7b-4f7e-b93e-e9774378ec62</t>
  </si>
  <si>
    <t>Udant Pau</t>
  </si>
  <si>
    <t>c20d3c5d-cfc9-4d09-baac-a0943e64869e</t>
  </si>
  <si>
    <t>Kalpit Prabhakar</t>
  </si>
  <si>
    <t>bd8153b3-3d34-4e8f-9f6c-c4a5983f86b3</t>
  </si>
  <si>
    <t>Lakshmi Batra</t>
  </si>
  <si>
    <t>b00a0588-9356-4146-b0d4-3d5617095547</t>
  </si>
  <si>
    <t>Balhaar Suri</t>
  </si>
  <si>
    <t>7c383cbd-c9c4-4d7e-aec7-4807133a3e27</t>
  </si>
  <si>
    <t>Adweta Rastogi</t>
  </si>
  <si>
    <t>5a8f4c85-e619-4345-8349-71c834b95d95</t>
  </si>
  <si>
    <t>Gavin Sinha</t>
  </si>
  <si>
    <t>fb791d9f-1a8f-4384-a493-f4ef64fb1a21</t>
  </si>
  <si>
    <t>Tristan Bera</t>
  </si>
  <si>
    <t>689659c1-3a5e-4746-b126-ac07f00ae348</t>
  </si>
  <si>
    <t>Vasatika Bhandari</t>
  </si>
  <si>
    <t>15e3d308-d5ba-4b15-a68f-f9d8cae7cc73</t>
  </si>
  <si>
    <t>Jagvi Pillay</t>
  </si>
  <si>
    <t>84f22dec-64f7-4cda-ade6-b84c9568bf4f</t>
  </si>
  <si>
    <t>Manbir Loyal</t>
  </si>
  <si>
    <t>6339dcb1-7a32-4533-a6cd-fa735888be18</t>
  </si>
  <si>
    <t>Banjeet Kadakia</t>
  </si>
  <si>
    <t>009adf0e-3dc7-49ce-b577-e47d4fbe00ef</t>
  </si>
  <si>
    <t>Dhriti Dasgupta</t>
  </si>
  <si>
    <t>2e9baff1-8514-4428-ac60-c36c39659c21</t>
  </si>
  <si>
    <t>Balhaar Chadha</t>
  </si>
  <si>
    <t>0d221bd7-083d-451b-9e03-29d4ffa471c1</t>
  </si>
  <si>
    <t>Brinda Korpal</t>
  </si>
  <si>
    <t>31dd6dfc-8f46-4685-acf9-68d8da1d192a</t>
  </si>
  <si>
    <t>Rudra Dhar</t>
  </si>
  <si>
    <t>9191a41e-7bd2-439a-99d9-2512d4f6a1af</t>
  </si>
  <si>
    <t>Chanchal Trivedi</t>
  </si>
  <si>
    <t>bafd4013-37e5-42b5-8a28-051ed837e6ae</t>
  </si>
  <si>
    <t>Laksh Hayre</t>
  </si>
  <si>
    <t>2d70f9ea-3f64-4e90-a17b-60131f8e5dd9</t>
  </si>
  <si>
    <t>Lekha Sanghvi</t>
  </si>
  <si>
    <t>45e015e9-529a-4dbc-aa22-bd884f862cfb</t>
  </si>
  <si>
    <t>Anjali Sha</t>
  </si>
  <si>
    <t>a9cab964-9c21-4222-a97b-b819189760c8</t>
  </si>
  <si>
    <t>Pooja Dhawan</t>
  </si>
  <si>
    <t>cd8b163a-76af-4fd5-b4db-7ee8c10f2740</t>
  </si>
  <si>
    <t>Kamya Devan</t>
  </si>
  <si>
    <t>22ef1a08-9c7d-4e83-8285-1ed7d239427d</t>
  </si>
  <si>
    <t>Damyanti Sem</t>
  </si>
  <si>
    <t>fd826b0b-4f6b-4196-84fb-35e01ade296e</t>
  </si>
  <si>
    <t>Jagat Palan</t>
  </si>
  <si>
    <t>b842ae50-92ae-4023-bfd9-e63d7e2929f5</t>
  </si>
  <si>
    <t>Nathan Ramanathan</t>
  </si>
  <si>
    <t>c5b0d5c9-86df-49f6-bc07-f803d251b237</t>
  </si>
  <si>
    <t>Pranit Kota</t>
  </si>
  <si>
    <t>fa69c03c-9edd-4473-8121-27f573f16d78</t>
  </si>
  <si>
    <t>Vasatika Bali</t>
  </si>
  <si>
    <t>67de4bfc-4c7f-499e-9a31-4e8237466412</t>
  </si>
  <si>
    <t>Pranav Sastry</t>
  </si>
  <si>
    <t>df53fecd-e53d-4605-98a4-4d72ac476231</t>
  </si>
  <si>
    <t>Niharika Deo</t>
  </si>
  <si>
    <t>b3834752-78e5-4a8d-80a4-5004976b843d</t>
  </si>
  <si>
    <t>Yashvi Tiwari</t>
  </si>
  <si>
    <t>4479e679-a33e-4d38-9d8c-ee4bef857888</t>
  </si>
  <si>
    <t>Harinakshi Sarin</t>
  </si>
  <si>
    <t>82d27e6c-ca21-4345-ad95-1c2d1d8cc2b8</t>
  </si>
  <si>
    <t>Quincy Lata</t>
  </si>
  <si>
    <t>6b11103c-2794-42e9-a431-b9d2a5bc2f58</t>
  </si>
  <si>
    <t>Alexander Bhasin</t>
  </si>
  <si>
    <t>0670a0af-3684-45b5-944c-a1240ad93777</t>
  </si>
  <si>
    <t>Baghyawati Dhar</t>
  </si>
  <si>
    <t>db8a8b09-2360-4782-ad32-0bccb0c3849a</t>
  </si>
  <si>
    <t>Amaira Kumer</t>
  </si>
  <si>
    <t>46887369-ea19-4d02-9272-c1079149f484</t>
  </si>
  <si>
    <t>Widisha Sharaf</t>
  </si>
  <si>
    <t>008941c4-8a49-4825-83dd-0454dd44f0eb</t>
  </si>
  <si>
    <t>Tanveer Amble</t>
  </si>
  <si>
    <t>a49f7c15-53ca-40fa-a6d4-fd6ec24ac5a4</t>
  </si>
  <si>
    <t>Balveer Mitra</t>
  </si>
  <si>
    <t>c64fc8d9-5ddb-4bfb-9893-3df6ffba70ff</t>
  </si>
  <si>
    <t>Ekani Tandon</t>
  </si>
  <si>
    <t>2b38f268-060f-4ee7-aaed-715627975c3c</t>
  </si>
  <si>
    <t>Kavya Sharaf</t>
  </si>
  <si>
    <t>d01f2f12-3fbf-4df7-be53-ecfd417f9f81</t>
  </si>
  <si>
    <t>Anmol Uppal</t>
  </si>
  <si>
    <t>d8661fb5-0a6d-4308-ba8b-3206239f7053</t>
  </si>
  <si>
    <t>Xavier Basu</t>
  </si>
  <si>
    <t>f0854809-469d-4aa2-8877-57ce3be1ae32</t>
  </si>
  <si>
    <t>Owen Bedi</t>
  </si>
  <si>
    <t>4b910742-e1a3-445b-a49c-c35dbc224f18</t>
  </si>
  <si>
    <t>Eiravati Seshadri</t>
  </si>
  <si>
    <t>18e83ed5-fb9f-47d6-8d6f-e21a5f10c760</t>
  </si>
  <si>
    <t>Henry Nigam</t>
  </si>
  <si>
    <t>c0f7f61f-19f4-424c-8e8b-abc5cf179dee</t>
  </si>
  <si>
    <t>Hemani Dutta</t>
  </si>
  <si>
    <t>5c87a320-c89c-4674-8502-f6511e18df66</t>
  </si>
  <si>
    <t>Yasti Nayak</t>
  </si>
  <si>
    <t>ac69a0e2-05d0-4c12-986a-f858525e8ea5</t>
  </si>
  <si>
    <t>Balendra Dalal</t>
  </si>
  <si>
    <t>d45f6bc3-afa4-4393-aec4-14d5861812f6</t>
  </si>
  <si>
    <t>Lekha Karnik</t>
  </si>
  <si>
    <t>3dc46824-4258-4f52-9f0d-83fc957e1dac</t>
  </si>
  <si>
    <t>Brinda Desai</t>
  </si>
  <si>
    <t>41e87e1b-efd7-416a-80e8-0ad3fd1b51b5</t>
  </si>
  <si>
    <t>Elijah Basak</t>
  </si>
  <si>
    <t>ecc98c30-bce3-4ea5-9468-d5079d20c6ab</t>
  </si>
  <si>
    <t>Barkha Naidu</t>
  </si>
  <si>
    <t>921d94f9-6659-46af-8cf0-a625f5832354</t>
  </si>
  <si>
    <t>Yachana Mitra</t>
  </si>
  <si>
    <t>0a9ba1d9-8997-4fd8-b708-3e212e9d1bf8</t>
  </si>
  <si>
    <t>Raksha Kari</t>
  </si>
  <si>
    <t>da04b4a4-bd1a-47fc-a0c3-e49f80474726</t>
  </si>
  <si>
    <t>Ikshita Kakar</t>
  </si>
  <si>
    <t>58ba2c7d-a5c8-4c65-92cf-502984a4d920</t>
  </si>
  <si>
    <t>Gaurika Bora</t>
  </si>
  <si>
    <t>43ab919b-075d-468c-9289-c249ab26e303</t>
  </si>
  <si>
    <t>Aachal Dugar</t>
  </si>
  <si>
    <t>71fe5e20-3b03-4d71-a19c-7b01e72b2060</t>
  </si>
  <si>
    <t>Anjali Goel</t>
  </si>
  <si>
    <t>c01df7b7-8d57-49be-a6c3-da9ec76c57b9</t>
  </si>
  <si>
    <t>Fitan Sane</t>
  </si>
  <si>
    <t>45b01479-6eff-4cee-a2f9-696058ad7009</t>
  </si>
  <si>
    <t>Anusha Vora</t>
  </si>
  <si>
    <t>ffa190dc-c994-4c45-a1eb-cb209b2ebbb1</t>
  </si>
  <si>
    <t>Dayita Ramaswamy</t>
  </si>
  <si>
    <t>ba8cc2a0-72f9-4af0-a25c-10dc5fb46723</t>
  </si>
  <si>
    <t>Nitesh Dixit</t>
  </si>
  <si>
    <t>07cb6eb5-2458-481f-a7aa-f9a008ee50fd</t>
  </si>
  <si>
    <t>Urmi Mand</t>
  </si>
  <si>
    <t>83d5d145-91fd-4284-85fb-df20b2bd9cda</t>
  </si>
  <si>
    <t>Nikita Bahl</t>
  </si>
  <si>
    <t>82a3acd6-51f2-4f4f-afba-7466d0e26900</t>
  </si>
  <si>
    <t>Krishna Sangha</t>
  </si>
  <si>
    <t>6c097541-7505-4d8e-af7c-e03109afddaa</t>
  </si>
  <si>
    <t>Geetika Dewan</t>
  </si>
  <si>
    <t>b4a94ddf-a56e-40d7-9e50-dacb94568608</t>
  </si>
  <si>
    <t>Triya Tailor</t>
  </si>
  <si>
    <t>9f850170-6285-4c62-8ae0-bf705d906b8c</t>
  </si>
  <si>
    <t>Vedhika Kaur</t>
  </si>
  <si>
    <t>e5f5ef5d-f9d7-4c25-b368-522839d0d5a6</t>
  </si>
  <si>
    <t>Chanchal Sundaram</t>
  </si>
  <si>
    <t>c68b06d9-e5db-4c81-b415-199c0ce1e958</t>
  </si>
  <si>
    <t>Shivani Anne</t>
  </si>
  <si>
    <t>1beec98a-5e6d-41bd-90ce-bff81349e433</t>
  </si>
  <si>
    <t>Ucchal Char</t>
  </si>
  <si>
    <t>2f938a4a-693c-48b0-82e4-cae33ae1b44f</t>
  </si>
  <si>
    <t>Dhruv Koshy</t>
  </si>
  <si>
    <t>f824ccb4-9a6a-4f97-9580-1034366e2254</t>
  </si>
  <si>
    <t>Yatan Kumar</t>
  </si>
  <si>
    <t>92f91276-98fd-4323-9cc3-afc6807a3ebd</t>
  </si>
  <si>
    <t>Udarsh Gill</t>
  </si>
  <si>
    <t>7d162873-fca8-4ed0-9f5c-e105f362e46a</t>
  </si>
  <si>
    <t>Chanakya Bora</t>
  </si>
  <si>
    <t>5aa1aec2-a038-4355-83f0-766de52a326e</t>
  </si>
  <si>
    <t>Harinakshi Dhillon</t>
  </si>
  <si>
    <t>d35f18d6-9da9-4d7f-ac7e-5ec8d4a166b0</t>
  </si>
  <si>
    <t>Yash Dayal</t>
  </si>
  <si>
    <t>5c7282bd-5c83-47cb-b193-af980aef3d40</t>
  </si>
  <si>
    <t>Warinder Mitra</t>
  </si>
  <si>
    <t>299447f2-980a-4320-87c1-ab9507c9a31b</t>
  </si>
  <si>
    <t>Arunima Babu</t>
  </si>
  <si>
    <t>ca2ee6e5-d177-4a9b-b721-0f121c1465e3</t>
  </si>
  <si>
    <t>Hardik Kuruvilla</t>
  </si>
  <si>
    <t>a12a3df2-5748-41ab-900b-21406907274b</t>
  </si>
  <si>
    <t>Ishanvi Sandhu</t>
  </si>
  <si>
    <t>ba5a48d2-0a03-4ce2-abfe-2bb9430b4091</t>
  </si>
  <si>
    <t>Kabir Dass</t>
  </si>
  <si>
    <t>275c623b-a695-4b65-9a15-9bd3840423af</t>
  </si>
  <si>
    <t>Yoshita Sangha</t>
  </si>
  <si>
    <t>c3e92ea6-7f4d-4809-9b6b-484eb4becf16</t>
  </si>
  <si>
    <t>Aditya Pai</t>
  </si>
  <si>
    <t>efb38392-57e0-4184-993e-c125541e0ec1</t>
  </si>
  <si>
    <t>Unnati Singh</t>
  </si>
  <si>
    <t>9d35eeff-099b-46b0-bc79-ab84a4d619a1</t>
  </si>
  <si>
    <t>Radhika Sharaf</t>
  </si>
  <si>
    <t>92f1d852-4efa-4885-aaf6-807bcd973ff3</t>
  </si>
  <si>
    <t>Diya Babu</t>
  </si>
  <si>
    <t>0451a136-3810-4056-b1b4-c2231fd8d1bf</t>
  </si>
  <si>
    <t>Jyoti Bansal</t>
  </si>
  <si>
    <t>6bbd4eef-0271-42d5-ae26-5876c703d8a7</t>
  </si>
  <si>
    <t>Abeer Chandran</t>
  </si>
  <si>
    <t>9e2ffa47-be09-480b-8f00-e296267559c2</t>
  </si>
  <si>
    <t>Radha Viswanathan</t>
  </si>
  <si>
    <t>44640ef4-7388-473f-a132-c5cf461a1083</t>
  </si>
  <si>
    <t>Christopher Dhawan</t>
  </si>
  <si>
    <t>30b2b1bc-53e4-4de2-ac35-e90bd0f8a513</t>
  </si>
  <si>
    <t>Bhavani Ahluwalia</t>
  </si>
  <si>
    <t>4a508b4e-5255-4703-aa67-84374ea274fe</t>
  </si>
  <si>
    <t>Niharika Lata</t>
  </si>
  <si>
    <t>21daae4d-64ee-43d4-8ebe-e1176c58d50c</t>
  </si>
  <si>
    <t>Samuel Sama</t>
  </si>
  <si>
    <t>7dfbe37a-bdb3-4296-a581-83ac2f6e0c7f</t>
  </si>
  <si>
    <t>Samaksh Chatterjee</t>
  </si>
  <si>
    <t>dafddca5-a61e-46bd-a833-5319fb782d14</t>
  </si>
  <si>
    <t>Janaki Modi</t>
  </si>
  <si>
    <t>4d8c6406-8f65-46e9-9e65-5ac10a362dda</t>
  </si>
  <si>
    <t>Akshay Gera</t>
  </si>
  <si>
    <t>324c1fbc-8279-41eb-86c1-c52a62f0e37f</t>
  </si>
  <si>
    <t>Madhavi Rastogi</t>
  </si>
  <si>
    <t>962ec764-d6a1-4c61-bb31-b4f8886fc725</t>
  </si>
  <si>
    <t>Vyanjana Kapoor</t>
  </si>
  <si>
    <t>b68cce68-c2f3-47bf-b690-6ac34f32d961</t>
  </si>
  <si>
    <t>Mitesh Deep</t>
  </si>
  <si>
    <t>a7655a63-d6d3-4da8-afe9-3dc5dd2f31fd</t>
  </si>
  <si>
    <t>Kamya Rao</t>
  </si>
  <si>
    <t>1a4c4034-6388-40d0-b167-546b517312b8</t>
  </si>
  <si>
    <t>Megha Rau</t>
  </si>
  <si>
    <t>614c50b6-92ab-4a04-a782-8c4d424b0269</t>
  </si>
  <si>
    <t>Indrajit Rai</t>
  </si>
  <si>
    <t>a58f0802-524f-4a3f-ac24-b6a9e20dc3d2</t>
  </si>
  <si>
    <t>Charita Devan</t>
  </si>
  <si>
    <t>5810674f-451a-499e-ad42-c7f1a001e9f1</t>
  </si>
  <si>
    <t>Finn Shere</t>
  </si>
  <si>
    <t>a334f6ff-bf50-427b-843b-c8438970f3de</t>
  </si>
  <si>
    <t>Azaan Rai</t>
  </si>
  <si>
    <t>278f287f-bd53-467d-b15e-664b651afb6b</t>
  </si>
  <si>
    <t>Saumya Nayar</t>
  </si>
  <si>
    <t>dd6b57d8-c749-4cf0-844a-97e9621c3065</t>
  </si>
  <si>
    <t>Qarin Sarin</t>
  </si>
  <si>
    <t>822cfe1d-8c4e-4e82-9ca4-a4fa7a114b8b</t>
  </si>
  <si>
    <t>Theodore Chatterjee</t>
  </si>
  <si>
    <t>803f1543-4af1-46b4-87c9-c259bc66a2b4</t>
  </si>
  <si>
    <t>Vasudha Amble</t>
  </si>
  <si>
    <t>28edf12c-70c0-4170-8a96-1ac84fc06802</t>
  </si>
  <si>
    <t>Patrick Ghosh</t>
  </si>
  <si>
    <t>be8cba25-6b12-4f09-9d92-4b19f51fb456</t>
  </si>
  <si>
    <t>Dayita Choudhry</t>
  </si>
  <si>
    <t>3cee997a-53a8-4b6a-9615-9ad3b54a9bd1</t>
  </si>
  <si>
    <t>Vasudha Devan</t>
  </si>
  <si>
    <t>f9a510c1-b499-4c30-8a72-14a4ce464b75</t>
  </si>
  <si>
    <t>Aishani Vyas</t>
  </si>
  <si>
    <t>f7f95628-7c4b-43cf-9d5e-7e7953b824ae</t>
  </si>
  <si>
    <t>Madhavi Singhal</t>
  </si>
  <si>
    <t>1b8301b2-7274-406a-8194-791d8161de7a</t>
  </si>
  <si>
    <t>Ubika Nath</t>
  </si>
  <si>
    <t>c08c6094-ae34-4278-90fb-db662f456223</t>
  </si>
  <si>
    <t>Dalbir Mangal</t>
  </si>
  <si>
    <t>c2a3120c-c1d5-4bad-a056-afc547404e11</t>
  </si>
  <si>
    <t>Zaitra Mohan</t>
  </si>
  <si>
    <t>96b75d8a-2708-4526-a962-c87d5b739009</t>
  </si>
  <si>
    <t>Ishanvi Mishra</t>
  </si>
  <si>
    <t>fd5222a7-1493-463d-bf80-88e383187034</t>
  </si>
  <si>
    <t>Om Johal</t>
  </si>
  <si>
    <t>b684b3bd-57d3-4e8a-87a2-241e524ca14d</t>
  </si>
  <si>
    <t>Vasatika Suresh</t>
  </si>
  <si>
    <t>11e72490-3699-434a-bb21-38b0a3320051</t>
  </si>
  <si>
    <t>Amara Agate</t>
  </si>
  <si>
    <t>6aacfcd4-c667-4557-87e5-8fcbf54322b5</t>
  </si>
  <si>
    <t>Vedant Parmar</t>
  </si>
  <si>
    <t>2204036d-6739-42de-bdeb-4b9459aeef44</t>
  </si>
  <si>
    <t>Shivani Soman</t>
  </si>
  <si>
    <t>2573febb-0a69-42fb-96f7-f33d0bc33238</t>
  </si>
  <si>
    <t>Abeer Nigam</t>
  </si>
  <si>
    <t>776fc75a-cbb9-4415-903e-2275e1ec2e11</t>
  </si>
  <si>
    <t>Nathaniel D’Alia</t>
  </si>
  <si>
    <t>5d633d05-bbd6-483e-9ab2-d85323cbd9f5</t>
  </si>
  <si>
    <t>Rishi Sachdeva</t>
  </si>
  <si>
    <t>5c9515b7-88be-4163-91ed-0b7522fe5cbe</t>
  </si>
  <si>
    <t>Ekalinga Balasubramanian</t>
  </si>
  <si>
    <t>9e976906-2364-4658-a3db-4aa509549217</t>
  </si>
  <si>
    <t>Bhavani Sahota</t>
  </si>
  <si>
    <t>5d3fca97-da26-4ce7-a2ac-303bb77b62a6</t>
  </si>
  <si>
    <t>Oscar Sodhi</t>
  </si>
  <si>
    <t>c617e071-9666-42b1-9ff2-1d13e7eadffc</t>
  </si>
  <si>
    <t>Sanaya Hayer</t>
  </si>
  <si>
    <t>b8034076-889f-40d0-89bb-bd0ff50badd4</t>
  </si>
  <si>
    <t>Oscar Chopra</t>
  </si>
  <si>
    <t>8d82e0ff-d498-41f5-abc8-d0d51a90acaa</t>
  </si>
  <si>
    <t>Fitan Batra</t>
  </si>
  <si>
    <t>05a098d9-d5a6-4e18-a943-93cdceb70263</t>
  </si>
  <si>
    <t>Om Master</t>
  </si>
  <si>
    <t>4eeb1037-a7dd-435e-beb4-fae724bd1d5b</t>
  </si>
  <si>
    <t>Bhavya Dugal</t>
  </si>
  <si>
    <t>7bf7ebb0-3e5a-48c4-a756-177f2b07de97</t>
  </si>
  <si>
    <t>Girish Karnik</t>
  </si>
  <si>
    <t>cea65048-a10c-450b-972e-ea0a14ce51b1</t>
  </si>
  <si>
    <t>Janaki Chhabra</t>
  </si>
  <si>
    <t>5339e31f-09e6-4e7f-8ab3-078df30e1ff7</t>
  </si>
  <si>
    <t>Shaurya Modi</t>
  </si>
  <si>
    <t>5b5896b2-9985-49a2-893d-5e4f9f7e5b6c</t>
  </si>
  <si>
    <t>Vanya Bhavsar</t>
  </si>
  <si>
    <t>85e31ce3-4e7f-4658-8ebc-d7526a417289</t>
  </si>
  <si>
    <t>Isha Majumdar</t>
  </si>
  <si>
    <t>72a7fb77-95af-4050-9c7a-b64e0b631f39</t>
  </si>
  <si>
    <t>Rachana Nigam</t>
  </si>
  <si>
    <t>7bde290d-4d03-4d38-bb02-5f405e687da4</t>
  </si>
  <si>
    <t>Waida Dora</t>
  </si>
  <si>
    <t>4850650e-6338-41a7-8bf3-44412affd0ed</t>
  </si>
  <si>
    <t>Tara Shukla</t>
  </si>
  <si>
    <t>0f221632-1b39-4bc1-920f-d7a8b0a0f123</t>
  </si>
  <si>
    <t>Chaaya Varty</t>
  </si>
  <si>
    <t>5ad8161e-0e01-4e89-9f7f-51d5ae5badea</t>
  </si>
  <si>
    <t>Arjun Mangal</t>
  </si>
  <si>
    <t>57cd1a24-61ec-4d05-917c-a047cc78fbae</t>
  </si>
  <si>
    <t>Ekiya Wali</t>
  </si>
  <si>
    <t>d9060ba1-b2b9-482a-a7ab-21da16486b2e</t>
  </si>
  <si>
    <t>Aachal Aggarwal</t>
  </si>
  <si>
    <t>cf252f01-63e8-49af-83fe-fe1525ddbb8e</t>
  </si>
  <si>
    <t>Dayita Nayak</t>
  </si>
  <si>
    <t>90692010-3651-4733-a049-dec982fe35c2</t>
  </si>
  <si>
    <t>Ganga Memon</t>
  </si>
  <si>
    <t>5dbe7d28-0511-42a3-b079-b2996c8e992a</t>
  </si>
  <si>
    <t>Harini Hari</t>
  </si>
  <si>
    <t>9e7936d0-467e-4708-8f15-8abd882678c3</t>
  </si>
  <si>
    <t>Vedhika Biswas</t>
  </si>
  <si>
    <t>aa0a8cf8-db4c-4471-8792-3548bb109781</t>
  </si>
  <si>
    <t>Leena Sawhney</t>
  </si>
  <si>
    <t>880e121c-4b2a-434a-85b6-e6c9807790bc</t>
  </si>
  <si>
    <t>Aarini Rai</t>
  </si>
  <si>
    <t>a95c41fe-d268-4188-87d2-1179339422ab</t>
  </si>
  <si>
    <t>Raksha Rao</t>
  </si>
  <si>
    <t>a3320f63-8cba-4550-85b7-2aeaa7d2e0c2</t>
  </si>
  <si>
    <t>Rayaan Nori</t>
  </si>
  <si>
    <t>585d740c-f99b-4c08-a18d-17a2d80fa0aa</t>
  </si>
  <si>
    <t>Utkarsh Mall</t>
  </si>
  <si>
    <t>50d15734-32f1-40cc-b86c-5b07dd415c11</t>
  </si>
  <si>
    <t>Tejas Basu</t>
  </si>
  <si>
    <t>928c9882-695f-4333-80f2-9ef069f30ba6</t>
  </si>
  <si>
    <t>Ijaya Vig</t>
  </si>
  <si>
    <t>0c90ce32-bc89-437b-8a06-575ecca1a9f8</t>
  </si>
  <si>
    <t>Abhimanyu Ravi</t>
  </si>
  <si>
    <t>1754dc94-573b-4cfe-aa4f-8016a39caaa4</t>
  </si>
  <si>
    <t>Xiti Bhatti</t>
  </si>
  <si>
    <t>e514cd44-0315-4c8b-8e8d-185f2fdf4980</t>
  </si>
  <si>
    <t>Edhitha Deshpande</t>
  </si>
  <si>
    <t>445a9325-68cc-4fc4-8d4f-f2bd31767d12</t>
  </si>
  <si>
    <t>Jonathan Bhat</t>
  </si>
  <si>
    <t>ed2aac8e-bdab-4a38-842b-0039618f205a</t>
  </si>
  <si>
    <t>Varsha Vaidya</t>
  </si>
  <si>
    <t>506c992d-ee39-408b-a0c0-edd1e9bc4e48</t>
  </si>
  <si>
    <t>Manthan Subramaniam</t>
  </si>
  <si>
    <t>2085a2e0-3f14-4c83-8faf-381a5570a035</t>
  </si>
  <si>
    <t>Daksha Raj</t>
  </si>
  <si>
    <t>b8ca5912-ff6e-496b-972a-7c7f8e0d5062</t>
  </si>
  <si>
    <t>Advika Dua</t>
  </si>
  <si>
    <t>9893579d-fba5-43fb-85b2-b1189d6bf32a</t>
  </si>
  <si>
    <t>Daksha Kamdar</t>
  </si>
  <si>
    <t>4c2c17fb-57cc-478b-9195-74975d4a9583</t>
  </si>
  <si>
    <t>Ekalinga Bawa</t>
  </si>
  <si>
    <t>d693559f-22c7-4d70-b7d7-1a57dc0eca8e</t>
  </si>
  <si>
    <t>Tristan Brar</t>
  </si>
  <si>
    <t>Column Labels</t>
  </si>
  <si>
    <t>Grand Total</t>
  </si>
  <si>
    <t>Row Labels</t>
  </si>
  <si>
    <t>Sum of Transaction Amount</t>
  </si>
  <si>
    <t>(All)</t>
  </si>
  <si>
    <t>month</t>
  </si>
  <si>
    <t>Jan</t>
  </si>
  <si>
    <t>Feb</t>
  </si>
  <si>
    <t>Mar</t>
  </si>
  <si>
    <t>Apr</t>
  </si>
  <si>
    <t>May</t>
  </si>
  <si>
    <t>Aug</t>
  </si>
  <si>
    <t>Sep</t>
  </si>
  <si>
    <t>Oct</t>
  </si>
  <si>
    <t>Nov</t>
  </si>
  <si>
    <t xml:space="preserve"> Indian Banking Transaction DashBoard</t>
  </si>
  <si>
    <t>Count of Transaction ID</t>
  </si>
  <si>
    <t>(Multiple Items)</t>
  </si>
  <si>
    <t>Jun</t>
  </si>
  <si>
    <t>Jul</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</si>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</sst>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Calibri"/>
      <scheme val="minor"/>
    </font>
    <font>
      <sz val="11"/>
      <color theme="1"/>
      <name val="Calibri"/>
      <family val="2"/>
      <scheme val="minor"/>
    </font>
    <font>
      <b/>
      <sz val="11"/>
      <color theme="1"/>
      <name val="Calibri"/>
      <scheme val="minor"/>
    </font>
    <font>
      <sz val="11"/>
      <color theme="1"/>
      <name val="Calibri"/>
      <scheme val="minor"/>
    </font>
    <font>
      <sz val="11"/>
      <color theme="1"/>
      <name val="Calibri"/>
    </font>
    <font>
      <sz val="11"/>
      <color rgb="FF00FFFF"/>
      <name val="Calibri"/>
      <family val="2"/>
      <scheme val="minor"/>
    </font>
    <font>
      <b/>
      <sz val="22"/>
      <color rgb="FF00FFFF"/>
      <name val="Calibri"/>
      <family val="2"/>
      <scheme val="minor"/>
    </font>
  </fonts>
  <fills count="5">
    <fill>
      <patternFill patternType="none"/>
    </fill>
    <fill>
      <patternFill patternType="gray125"/>
    </fill>
    <fill>
      <patternFill patternType="solid">
        <fgColor theme="3" tint="0.249977111117893"/>
        <bgColor indexed="64"/>
      </patternFill>
    </fill>
    <fill>
      <patternFill patternType="solid">
        <fgColor rgb="FFCCFFFF"/>
        <bgColor indexed="64"/>
      </patternFill>
    </fill>
    <fill>
      <patternFill patternType="solid">
        <fgColor rgb="FF00FFFF"/>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2" fillId="0" borderId="1" xfId="0" applyFont="1" applyBorder="1" applyAlignment="1">
      <alignment horizontal="center" vertical="top"/>
    </xf>
    <xf numFmtId="0" fontId="3" fillId="0" borderId="0" xfId="0" applyFont="1"/>
    <xf numFmtId="164" fontId="4" fillId="0" borderId="0" xfId="0" applyNumberFormat="1" applyFont="1"/>
    <xf numFmtId="0" fontId="0" fillId="0" borderId="0" xfId="0" pivotButton="1"/>
    <xf numFmtId="0" fontId="0" fillId="0" borderId="0" xfId="0" applyAlignment="1">
      <alignment horizontal="left"/>
    </xf>
    <xf numFmtId="0" fontId="0" fillId="3" borderId="0" xfId="0" applyFill="1"/>
    <xf numFmtId="0" fontId="5" fillId="3" borderId="0" xfId="0" applyFont="1" applyFill="1"/>
    <xf numFmtId="0" fontId="5" fillId="4" borderId="0" xfId="0" applyFont="1" applyFill="1"/>
    <xf numFmtId="0" fontId="0" fillId="4" borderId="0" xfId="0" applyFill="1"/>
    <xf numFmtId="0" fontId="1" fillId="0" borderId="0" xfId="0" applyFont="1"/>
    <xf numFmtId="0" fontId="0" fillId="0" borderId="0" xfId="0" applyAlignment="1">
      <alignment vertical="center"/>
    </xf>
    <xf numFmtId="0" fontId="0" fillId="0" borderId="0" xfId="0" applyAlignment="1">
      <alignment horizontal="center"/>
    </xf>
    <xf numFmtId="0" fontId="1" fillId="0" borderId="0" xfId="0" applyFont="1" applyAlignment="1">
      <alignment horizontal="center"/>
    </xf>
    <xf numFmtId="0" fontId="6" fillId="2" borderId="0" xfId="0" applyFont="1" applyFill="1" applyAlignment="1">
      <alignment horizontal="center"/>
    </xf>
    <xf numFmtId="0" fontId="0" fillId="0" borderId="0" xfId="0" applyNumberFormat="1"/>
  </cellXfs>
  <cellStyles count="1">
    <cellStyle name="Normal" xfId="0" builtinId="0"/>
  </cellStyles>
  <dxfs count="18">
    <dxf>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4" formatCode="yyyy\-mm\-dd"/>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colors>
    <mruColors>
      <color rgb="FFCCFFFF"/>
      <color rgb="FF00FFFF"/>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[Indian_Banking_data.xlsx]Inian_bank!PivotTable1</c:name>
    <c:fmtId val="2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Regional Transaction Volume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Inian_bank!$B$3</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Inian_bank!$A$4:$A$8</c:f>
              <c:strCache>
                <c:ptCount val="5"/>
                <c:pt idx="0">
                  <c:v>Central</c:v>
                </c:pt>
                <c:pt idx="1">
                  <c:v>East</c:v>
                </c:pt>
                <c:pt idx="2">
                  <c:v>North</c:v>
                </c:pt>
                <c:pt idx="3">
                  <c:v>South</c:v>
                </c:pt>
                <c:pt idx="4">
                  <c:v>West</c:v>
                </c:pt>
              </c:strCache>
            </c:strRef>
          </c:cat>
          <c:val>
            <c:numRef>
              <c:f>Inian_bank!$B$4:$B$8</c:f>
              <c:numCache>
                <c:formatCode>General</c:formatCode>
                <c:ptCount val="5"/>
                <c:pt idx="0">
                  <c:v>98</c:v>
                </c:pt>
                <c:pt idx="1">
                  <c:v>94</c:v>
                </c:pt>
                <c:pt idx="2">
                  <c:v>110</c:v>
                </c:pt>
                <c:pt idx="3">
                  <c:v>97</c:v>
                </c:pt>
                <c:pt idx="4">
                  <c:v>101</c:v>
                </c:pt>
              </c:numCache>
            </c:numRef>
          </c:val>
          <c:extLst>
            <c:ext xmlns:c16="http://schemas.microsoft.com/office/drawing/2014/chart" uri="{C3380CC4-5D6E-409C-BE32-E72D297353CC}">
              <c16:uniqueId val="{00000004-3133-408B-BCF8-95B26E352E80}"/>
            </c:ext>
          </c:extLst>
        </c:ser>
        <c:dLbls>
          <c:dLblPos val="inEnd"/>
          <c:showLegendKey val="0"/>
          <c:showVal val="1"/>
          <c:showCatName val="0"/>
          <c:showSerName val="0"/>
          <c:showPercent val="0"/>
          <c:showBubbleSize val="0"/>
        </c:dLbls>
        <c:gapWidth val="65"/>
        <c:axId val="743522096"/>
        <c:axId val="508760848"/>
      </c:barChart>
      <c:catAx>
        <c:axId val="7435220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08760848"/>
        <c:crosses val="autoZero"/>
        <c:auto val="1"/>
        <c:lblAlgn val="ctr"/>
        <c:lblOffset val="100"/>
        <c:noMultiLvlLbl val="0"/>
      </c:catAx>
      <c:valAx>
        <c:axId val="5087608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43522096"/>
        <c:crosses val="autoZero"/>
        <c:crossBetween val="between"/>
      </c:valAx>
      <c:spPr>
        <a:noFill/>
        <a:ln>
          <a:noFill/>
        </a:ln>
        <a:effectLst/>
      </c:spPr>
    </c:plotArea>
    <c:legend>
      <c:legendPos val="r"/>
      <c:layout>
        <c:manualLayout>
          <c:xMode val="edge"/>
          <c:yMode val="edge"/>
          <c:x val="0.7738702974628171"/>
          <c:y val="3.5219451735199768E-2"/>
          <c:w val="0.16224081364829396"/>
          <c:h val="7.8125546806649182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[Indian_Banking_data.xlsx]Inian_bank!PivotTable1</c:name>
    <c:fmtId val="31"/>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IN" sz="1600"/>
              <a:t>Regional Transaction Volume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03734632335881"/>
          <c:y val="0.19148750238591861"/>
          <c:w val="0.64088917564621206"/>
          <c:h val="0.55084451892286512"/>
        </c:manualLayout>
      </c:layout>
      <c:barChart>
        <c:barDir val="bar"/>
        <c:grouping val="clustered"/>
        <c:varyColors val="0"/>
        <c:ser>
          <c:idx val="0"/>
          <c:order val="0"/>
          <c:tx>
            <c:strRef>
              <c:f>Inian_bank!$B$3</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Inian_bank!$A$4:$A$8</c:f>
              <c:strCache>
                <c:ptCount val="5"/>
                <c:pt idx="0">
                  <c:v>Central</c:v>
                </c:pt>
                <c:pt idx="1">
                  <c:v>East</c:v>
                </c:pt>
                <c:pt idx="2">
                  <c:v>North</c:v>
                </c:pt>
                <c:pt idx="3">
                  <c:v>South</c:v>
                </c:pt>
                <c:pt idx="4">
                  <c:v>West</c:v>
                </c:pt>
              </c:strCache>
            </c:strRef>
          </c:cat>
          <c:val>
            <c:numRef>
              <c:f>Inian_bank!$B$4:$B$8</c:f>
              <c:numCache>
                <c:formatCode>General</c:formatCode>
                <c:ptCount val="5"/>
                <c:pt idx="0">
                  <c:v>98</c:v>
                </c:pt>
                <c:pt idx="1">
                  <c:v>94</c:v>
                </c:pt>
                <c:pt idx="2">
                  <c:v>110</c:v>
                </c:pt>
                <c:pt idx="3">
                  <c:v>97</c:v>
                </c:pt>
                <c:pt idx="4">
                  <c:v>101</c:v>
                </c:pt>
              </c:numCache>
            </c:numRef>
          </c:val>
          <c:extLst>
            <c:ext xmlns:c16="http://schemas.microsoft.com/office/drawing/2014/chart" uri="{C3380CC4-5D6E-409C-BE32-E72D297353CC}">
              <c16:uniqueId val="{00000004-B648-4E8D-880F-2321A5561629}"/>
            </c:ext>
          </c:extLst>
        </c:ser>
        <c:dLbls>
          <c:dLblPos val="inEnd"/>
          <c:showLegendKey val="0"/>
          <c:showVal val="1"/>
          <c:showCatName val="0"/>
          <c:showSerName val="0"/>
          <c:showPercent val="0"/>
          <c:showBubbleSize val="0"/>
        </c:dLbls>
        <c:gapWidth val="65"/>
        <c:axId val="743522096"/>
        <c:axId val="508760848"/>
      </c:barChart>
      <c:catAx>
        <c:axId val="74352209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Region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600" b="1" i="0" u="none" strike="noStrike" kern="1200" cap="all" baseline="0">
                <a:solidFill>
                  <a:schemeClr val="dk1">
                    <a:lumMod val="75000"/>
                    <a:lumOff val="25000"/>
                  </a:schemeClr>
                </a:solidFill>
                <a:latin typeface="+mn-lt"/>
                <a:ea typeface="+mn-ea"/>
                <a:cs typeface="+mn-cs"/>
              </a:defRPr>
            </a:pPr>
            <a:endParaRPr lang="en-US"/>
          </a:p>
        </c:txPr>
        <c:crossAx val="508760848"/>
        <c:crosses val="autoZero"/>
        <c:auto val="1"/>
        <c:lblAlgn val="ctr"/>
        <c:lblOffset val="100"/>
        <c:noMultiLvlLbl val="0"/>
      </c:catAx>
      <c:valAx>
        <c:axId val="50876084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Transactions</a:t>
                </a:r>
              </a:p>
            </c:rich>
          </c:tx>
          <c:layout>
            <c:manualLayout>
              <c:xMode val="edge"/>
              <c:yMode val="edge"/>
              <c:x val="0.38596665689203524"/>
              <c:y val="0.8526571651374624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dk1">
                    <a:lumMod val="75000"/>
                    <a:lumOff val="25000"/>
                  </a:schemeClr>
                </a:solidFill>
                <a:latin typeface="+mn-lt"/>
                <a:ea typeface="+mn-ea"/>
                <a:cs typeface="+mn-cs"/>
              </a:defRPr>
            </a:pPr>
            <a:endParaRPr lang="en-US"/>
          </a:p>
        </c:txPr>
        <c:crossAx val="74352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[Indian_Banking_data.xlsx]monthly_trends!PivotTable1</c:name>
    <c:fmtId val="11"/>
  </c:pivotSource>
  <c:chart>
    <c:title>
      <c:tx>
        <c:rich>
          <a:bodyPr rot="0" spcFirstLastPara="1" vertOverflow="ellipsis" vert="horz" wrap="square" anchor="ctr" anchorCtr="1"/>
          <a:lstStyle/>
          <a:p>
            <a:pPr>
              <a:defRPr sz="1400" b="1" i="0" u="none" strike="noStrike" kern="1200" cap="none" spc="20" baseline="0">
                <a:solidFill>
                  <a:schemeClr val="tx1">
                    <a:lumMod val="75000"/>
                    <a:lumOff val="25000"/>
                  </a:schemeClr>
                </a:solidFill>
                <a:latin typeface="+mn-lt"/>
                <a:ea typeface="+mn-ea"/>
                <a:cs typeface="+mn-cs"/>
              </a:defRPr>
            </a:pPr>
            <a:r>
              <a:rPr lang="en-IN" sz="1400" b="1">
                <a:solidFill>
                  <a:schemeClr val="tx1">
                    <a:lumMod val="75000"/>
                    <a:lumOff val="25000"/>
                  </a:schemeClr>
                </a:solidFill>
              </a:rPr>
              <a:t>Monthly Transaction Trend</a:t>
            </a:r>
            <a:endParaRPr lang="en-US" sz="1400" b="1">
              <a:solidFill>
                <a:schemeClr val="tx1">
                  <a:lumMod val="75000"/>
                  <a:lumOff val="25000"/>
                </a:schemeClr>
              </a:solidFill>
            </a:endParaRPr>
          </a:p>
        </c:rich>
      </c:tx>
      <c:layout>
        <c:manualLayout>
          <c:xMode val="edge"/>
          <c:yMode val="edge"/>
          <c:x val="0.1960213830966763"/>
          <c:y val="3.9337172405688098E-2"/>
        </c:manualLayout>
      </c:layout>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lumMod val="75000"/>
                  <a:lumOff val="25000"/>
                </a:schemeClr>
              </a:solidFill>
              <a:latin typeface="+mn-lt"/>
              <a:ea typeface="+mn-ea"/>
              <a:cs typeface="+mn-cs"/>
            </a:defRPr>
          </a:pPr>
          <a:endParaRPr lang="en-US"/>
        </a:p>
      </c:txPr>
    </c:title>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34088461119321"/>
          <c:y val="0.14508111961821002"/>
          <c:w val="0.8540059725243081"/>
          <c:h val="0.5865323759965958"/>
        </c:manualLayout>
      </c:layout>
      <c:lineChart>
        <c:grouping val="standard"/>
        <c:varyColors val="0"/>
        <c:ser>
          <c:idx val="0"/>
          <c:order val="0"/>
          <c:tx>
            <c:strRef>
              <c:f>monthly_trends!$B$3</c:f>
              <c:strCache>
                <c:ptCount val="1"/>
                <c:pt idx="0">
                  <c:v>Total</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monthly_trends!$A$4:$A$16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monthly_trends!$B$4:$B$16</c:f>
              <c:numCache>
                <c:formatCode>General</c:formatCode>
                <c:ptCount val="12"/>
                <c:pt idx="0">
                  <c:v>45</c:v>
                </c:pt>
                <c:pt idx="1">
                  <c:v>45</c:v>
                </c:pt>
                <c:pt idx="2">
                  <c:v>40</c:v>
                </c:pt>
                <c:pt idx="3">
                  <c:v>45</c:v>
                </c:pt>
                <c:pt idx="4">
                  <c:v>42</c:v>
                </c:pt>
                <c:pt idx="5">
                  <c:v>35</c:v>
                </c:pt>
                <c:pt idx="6">
                  <c:v>34</c:v>
                </c:pt>
                <c:pt idx="7">
                  <c:v>39</c:v>
                </c:pt>
                <c:pt idx="8">
                  <c:v>40</c:v>
                </c:pt>
                <c:pt idx="9">
                  <c:v>41</c:v>
                </c:pt>
                <c:pt idx="10">
                  <c:v>55</c:v>
                </c:pt>
                <c:pt idx="11">
                  <c:v>39</c:v>
                </c:pt>
              </c:numCache>
            </c:numRef>
          </c:val>
          <c:smooth val="0"/>
          <c:extLst>
            <c:ext xmlns:c16="http://schemas.microsoft.com/office/drawing/2014/chart" uri="{C3380CC4-5D6E-409C-BE32-E72D297353CC}">
              <c16:uniqueId val="{00000000-3714-4879-9094-79A49F9E439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703378560"/>
        <c:axId val="508585168"/>
      </c:lineChart>
      <c:catAx>
        <c:axId val="703378560"/>
        <c:scaling>
          <c:orientation val="minMax"/>
        </c:scaling>
        <c:delete val="0"/>
        <c:axPos val="b"/>
        <c:title>
          <c:tx>
            <c:rich>
              <a:bodyPr rot="0" spcFirstLastPara="1" vertOverflow="ellipsis" vert="horz" wrap="square" anchor="ctr" anchorCtr="1"/>
              <a:lstStyle/>
              <a:p>
                <a:pPr>
                  <a:defRPr sz="1000" b="0" i="0" u="none" strike="noStrike" kern="1200" cap="all" baseline="0">
                    <a:solidFill>
                      <a:schemeClr val="tx1"/>
                    </a:solidFill>
                    <a:latin typeface="+mn-lt"/>
                    <a:ea typeface="+mn-ea"/>
                    <a:cs typeface="+mn-cs"/>
                  </a:defRPr>
                </a:pPr>
                <a:r>
                  <a:rPr lang="en-IN" sz="1000" b="1">
                    <a:solidFill>
                      <a:schemeClr val="tx1"/>
                    </a:solidFill>
                  </a:rPr>
                  <a:t>Months</a:t>
                </a:r>
              </a:p>
            </c:rich>
          </c:tx>
          <c:layout>
            <c:manualLayout>
              <c:xMode val="edge"/>
              <c:yMode val="edge"/>
              <c:x val="0.4575169040604522"/>
              <c:y val="0.86185726410433905"/>
            </c:manualLayout>
          </c:layout>
          <c:overlay val="0"/>
          <c:spPr>
            <a:noFill/>
            <a:ln>
              <a:noFill/>
            </a:ln>
            <a:effectLst/>
          </c:spPr>
          <c:txPr>
            <a:bodyPr rot="0" spcFirstLastPara="1" vertOverflow="ellipsis" vert="horz" wrap="square" anchor="ctr" anchorCtr="1"/>
            <a:lstStyle/>
            <a:p>
              <a:pPr>
                <a:defRPr sz="1000" b="0"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50" b="1" i="0" u="none" strike="noStrike" kern="1200" spc="20" baseline="0">
                <a:solidFill>
                  <a:schemeClr val="tx1"/>
                </a:solidFill>
                <a:latin typeface="+mn-lt"/>
                <a:ea typeface="+mn-ea"/>
                <a:cs typeface="+mn-cs"/>
              </a:defRPr>
            </a:pPr>
            <a:endParaRPr lang="en-US"/>
          </a:p>
        </c:txPr>
        <c:crossAx val="508585168"/>
        <c:crosses val="autoZero"/>
        <c:auto val="1"/>
        <c:lblAlgn val="ctr"/>
        <c:lblOffset val="100"/>
        <c:noMultiLvlLbl val="0"/>
      </c:catAx>
      <c:valAx>
        <c:axId val="508585168"/>
        <c:scaling>
          <c:orientation val="minMax"/>
        </c:scaling>
        <c:delete val="0"/>
        <c:axPos val="l"/>
        <c:title>
          <c:tx>
            <c:rich>
              <a:bodyPr rot="-5400000" spcFirstLastPara="1" vertOverflow="ellipsis" vert="horz" wrap="square" anchor="ctr" anchorCtr="1"/>
              <a:lstStyle/>
              <a:p>
                <a:pPr>
                  <a:defRPr sz="1000" b="0" i="0" u="none" strike="noStrike" kern="1200" cap="all" baseline="0">
                    <a:solidFill>
                      <a:schemeClr val="dk1">
                        <a:lumMod val="65000"/>
                        <a:lumOff val="35000"/>
                      </a:schemeClr>
                    </a:solidFill>
                    <a:latin typeface="+mn-lt"/>
                    <a:ea typeface="+mn-ea"/>
                    <a:cs typeface="+mn-cs"/>
                  </a:defRPr>
                </a:pPr>
                <a:r>
                  <a:rPr lang="en-IN" sz="1000" b="1">
                    <a:solidFill>
                      <a:schemeClr val="tx1"/>
                    </a:solidFill>
                  </a:rPr>
                  <a:t>Transactions</a:t>
                </a:r>
              </a:p>
            </c:rich>
          </c:tx>
          <c:overlay val="0"/>
          <c:spPr>
            <a:noFill/>
            <a:ln>
              <a:noFill/>
            </a:ln>
            <a:effectLst/>
          </c:spPr>
          <c:txPr>
            <a:bodyPr rot="-5400000" spcFirstLastPara="1" vertOverflow="ellipsis" vert="horz" wrap="square" anchor="ctr" anchorCtr="1"/>
            <a:lstStyle/>
            <a:p>
              <a:pPr>
                <a:defRPr sz="10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dk1">
                    <a:lumMod val="65000"/>
                    <a:lumOff val="35000"/>
                  </a:schemeClr>
                </a:solidFill>
                <a:latin typeface="+mn-lt"/>
                <a:ea typeface="+mn-ea"/>
                <a:cs typeface="+mn-cs"/>
              </a:defRPr>
            </a:pPr>
            <a:endParaRPr lang="en-US"/>
          </a:p>
        </c:txPr>
        <c:crossAx val="70337856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[Indian_Banking_data.xlsx]Transaction Volume by Branch!PivotTable2</c:name>
    <c:fmtId val="6"/>
  </c:pivotSource>
  <c:chart>
    <c:title>
      <c:tx>
        <c:rich>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r>
              <a:rPr lang="en-IN" sz="900" b="1" i="0" u="none" strike="noStrike" baseline="0">
                <a:solidFill>
                  <a:schemeClr val="tx1"/>
                </a:solidFill>
              </a:rPr>
              <a:t>Transaction Volume by Branch</a:t>
            </a:r>
            <a:endParaRPr lang="en-US" sz="900" b="1">
              <a:solidFill>
                <a:schemeClr val="tx1"/>
              </a:solidFill>
            </a:endParaRP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'Transaction Volume by Branch'!$B$3</c:f>
              <c:strCache>
                <c:ptCount val="1"/>
                <c:pt idx="0">
                  <c:v>Total</c:v>
                </c:pt>
              </c:strCache>
            </c:strRef>
          </c:tx>
          <c:spPr>
            <a:solidFill>
              <a:schemeClr val="accent6"/>
            </a:solidFill>
            <a:ln>
              <a:noFill/>
            </a:ln>
            <a:effectLst/>
            <a:sp3d/>
          </c:spPr>
          <c:invertIfNegative val="0"/>
          <c:cat>
            <c:strRef>
              <c:f>'Transaction Volume by Branch'!$A$4:$A$29</c:f>
              <c:strCache>
                <c:ptCount val="25"/>
                <c:pt idx="0">
                  <c:v>Chennai Branch</c:v>
                </c:pt>
                <c:pt idx="1">
                  <c:v>Indore Branch</c:v>
                </c:pt>
                <c:pt idx="2">
                  <c:v>Ahmedabad Branch</c:v>
                </c:pt>
                <c:pt idx="3">
                  <c:v>Lucknow Branch</c:v>
                </c:pt>
                <c:pt idx="4">
                  <c:v>Chandigarh Branch</c:v>
                </c:pt>
                <c:pt idx="5">
                  <c:v>Nagpur Branch</c:v>
                </c:pt>
                <c:pt idx="6">
                  <c:v>Jaipur Branch</c:v>
                </c:pt>
                <c:pt idx="7">
                  <c:v>Bhubaneswar Branch</c:v>
                </c:pt>
                <c:pt idx="8">
                  <c:v>Delhi Branch</c:v>
                </c:pt>
                <c:pt idx="9">
                  <c:v>Guwahati Branch</c:v>
                </c:pt>
                <c:pt idx="10">
                  <c:v>Surat Branch</c:v>
                </c:pt>
                <c:pt idx="11">
                  <c:v>Pune Branch</c:v>
                </c:pt>
                <c:pt idx="12">
                  <c:v>Amritsar Branch</c:v>
                </c:pt>
                <c:pt idx="13">
                  <c:v>Bhopal Branch</c:v>
                </c:pt>
                <c:pt idx="14">
                  <c:v>Gwalior Branch</c:v>
                </c:pt>
                <c:pt idx="15">
                  <c:v>Kolkata Branch</c:v>
                </c:pt>
                <c:pt idx="16">
                  <c:v>Hyderabad Branch</c:v>
                </c:pt>
                <c:pt idx="17">
                  <c:v>Bangalore Branch</c:v>
                </c:pt>
                <c:pt idx="18">
                  <c:v>Patna Branch</c:v>
                </c:pt>
                <c:pt idx="19">
                  <c:v>Coimbatore Branch</c:v>
                </c:pt>
                <c:pt idx="20">
                  <c:v>Kochi Branch</c:v>
                </c:pt>
                <c:pt idx="21">
                  <c:v>Jabalpur Branch</c:v>
                </c:pt>
                <c:pt idx="22">
                  <c:v>Raipur Branch</c:v>
                </c:pt>
                <c:pt idx="23">
                  <c:v>Ranchi Branch</c:v>
                </c:pt>
                <c:pt idx="24">
                  <c:v>Mumbai Branch</c:v>
                </c:pt>
              </c:strCache>
            </c:strRef>
          </c:cat>
          <c:val>
            <c:numRef>
              <c:f>'Transaction Volume by Branch'!$B$4:$B$29</c:f>
              <c:numCache>
                <c:formatCode>General</c:formatCode>
                <c:ptCount val="25"/>
                <c:pt idx="0">
                  <c:v>28</c:v>
                </c:pt>
                <c:pt idx="1">
                  <c:v>28</c:v>
                </c:pt>
                <c:pt idx="2">
                  <c:v>26</c:v>
                </c:pt>
                <c:pt idx="3">
                  <c:v>23</c:v>
                </c:pt>
                <c:pt idx="4">
                  <c:v>23</c:v>
                </c:pt>
                <c:pt idx="5">
                  <c:v>22</c:v>
                </c:pt>
                <c:pt idx="6">
                  <c:v>22</c:v>
                </c:pt>
                <c:pt idx="7">
                  <c:v>22</c:v>
                </c:pt>
                <c:pt idx="8">
                  <c:v>22</c:v>
                </c:pt>
                <c:pt idx="9">
                  <c:v>22</c:v>
                </c:pt>
                <c:pt idx="10">
                  <c:v>21</c:v>
                </c:pt>
                <c:pt idx="11">
                  <c:v>20</c:v>
                </c:pt>
                <c:pt idx="12">
                  <c:v>20</c:v>
                </c:pt>
                <c:pt idx="13">
                  <c:v>20</c:v>
                </c:pt>
                <c:pt idx="14">
                  <c:v>19</c:v>
                </c:pt>
                <c:pt idx="15">
                  <c:v>19</c:v>
                </c:pt>
                <c:pt idx="16">
                  <c:v>19</c:v>
                </c:pt>
                <c:pt idx="17">
                  <c:v>17</c:v>
                </c:pt>
                <c:pt idx="18">
                  <c:v>17</c:v>
                </c:pt>
                <c:pt idx="19">
                  <c:v>17</c:v>
                </c:pt>
                <c:pt idx="20">
                  <c:v>16</c:v>
                </c:pt>
                <c:pt idx="21">
                  <c:v>16</c:v>
                </c:pt>
                <c:pt idx="22">
                  <c:v>15</c:v>
                </c:pt>
                <c:pt idx="23">
                  <c:v>14</c:v>
                </c:pt>
                <c:pt idx="24">
                  <c:v>12</c:v>
                </c:pt>
              </c:numCache>
            </c:numRef>
          </c:val>
          <c:extLst>
            <c:ext xmlns:c16="http://schemas.microsoft.com/office/drawing/2014/chart" uri="{C3380CC4-5D6E-409C-BE32-E72D297353CC}">
              <c16:uniqueId val="{00000000-43C5-48C3-9B36-DB9C298D2904}"/>
            </c:ext>
          </c:extLst>
        </c:ser>
        <c:dLbls>
          <c:showLegendKey val="0"/>
          <c:showVal val="0"/>
          <c:showCatName val="0"/>
          <c:showSerName val="0"/>
          <c:showPercent val="0"/>
          <c:showBubbleSize val="0"/>
        </c:dLbls>
        <c:gapWidth val="150"/>
        <c:shape val="box"/>
        <c:axId val="913327968"/>
        <c:axId val="508581808"/>
        <c:axId val="0"/>
      </c:bar3DChart>
      <c:catAx>
        <c:axId val="913327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508581808"/>
        <c:crosses val="autoZero"/>
        <c:auto val="1"/>
        <c:lblAlgn val="ctr"/>
        <c:lblOffset val="100"/>
        <c:noMultiLvlLbl val="0"/>
      </c:catAx>
      <c:valAx>
        <c:axId val="50858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en-US"/>
          </a:p>
        </c:txPr>
        <c:crossAx val="91332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[Indian_Banking_data.xlsx]Sheet6!PivotTable3</c:name>
    <c:fmtId val="8"/>
  </c:pivotSource>
  <c:chart>
    <c:title>
      <c:tx>
        <c:rich>
          <a:bodyPr rot="0" spcFirstLastPara="1" vertOverflow="ellipsis" vert="horz" wrap="square" anchor="ctr" anchorCtr="1"/>
          <a:lstStyle/>
          <a:p>
            <a:pPr>
              <a:defRPr sz="1050" b="1" i="0" u="none" strike="noStrike" kern="1200" cap="all" spc="50" baseline="0">
                <a:solidFill>
                  <a:schemeClr val="tx1"/>
                </a:solidFill>
                <a:latin typeface="+mn-lt"/>
                <a:ea typeface="+mn-ea"/>
                <a:cs typeface="+mn-cs"/>
              </a:defRPr>
            </a:pPr>
            <a:r>
              <a:rPr lang="en-IN" sz="1050" b="1" i="0" u="none" strike="noStrike" cap="all" baseline="0">
                <a:solidFill>
                  <a:schemeClr val="tx1"/>
                </a:solidFill>
              </a:rPr>
              <a:t>Transaction Type Breakdown</a:t>
            </a:r>
            <a:endParaRPr lang="en-US" sz="1050" b="1">
              <a:solidFill>
                <a:schemeClr val="tx1"/>
              </a:solidFill>
            </a:endParaRPr>
          </a:p>
        </c:rich>
      </c:tx>
      <c:overlay val="0"/>
      <c:spPr>
        <a:noFill/>
        <a:ln>
          <a:noFill/>
        </a:ln>
        <a:effectLst/>
      </c:spPr>
      <c:txPr>
        <a:bodyPr rot="0" spcFirstLastPara="1" vertOverflow="ellipsis" vert="horz" wrap="square" anchor="ctr" anchorCtr="1"/>
        <a:lstStyle/>
        <a:p>
          <a:pPr>
            <a:defRPr sz="1050" b="1" i="0" u="none" strike="noStrike" kern="1200" cap="all" spc="5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0849279632258564"/>
          <c:y val="0.1619985822213991"/>
          <c:w val="0.49347705599810165"/>
          <c:h val="0.80793241890263545"/>
        </c:manualLayout>
      </c:layout>
      <c:doughnutChart>
        <c:varyColors val="1"/>
        <c:ser>
          <c:idx val="0"/>
          <c:order val="0"/>
          <c:tx>
            <c:strRef>
              <c:f>Sheet6!$B$3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4F8-4C31-B790-6D4408755848}"/>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4F8-4C31-B790-6D4408755848}"/>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4F8-4C31-B790-6D4408755848}"/>
              </c:ext>
            </c:extLst>
          </c:dPt>
          <c:dPt>
            <c:idx val="3"/>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4F8-4C31-B790-6D440875584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Sheet6!$A$4:$A$8</c:f>
              <c:strCache>
                <c:ptCount val="4"/>
                <c:pt idx="0">
                  <c:v>Cheque</c:v>
                </c:pt>
                <c:pt idx="1">
                  <c:v>Deposit</c:v>
                </c:pt>
                <c:pt idx="2">
                  <c:v>Online Transfer</c:v>
                </c:pt>
                <c:pt idx="3">
                  <c:v>Withdrawal</c:v>
                </c:pt>
              </c:strCache>
            </c:strRef>
          </c:cat>
          <c:val>
            <c:numRef>
              <c:f>Sheet6!$B$4:$B$8</c:f>
              <c:numCache>
                <c:formatCode>General</c:formatCode>
                <c:ptCount val="4"/>
                <c:pt idx="0">
                  <c:v>108</c:v>
                </c:pt>
                <c:pt idx="1">
                  <c:v>140</c:v>
                </c:pt>
                <c:pt idx="2">
                  <c:v>136</c:v>
                </c:pt>
                <c:pt idx="3">
                  <c:v>116</c:v>
                </c:pt>
              </c:numCache>
            </c:numRef>
          </c:val>
          <c:extLst>
            <c:ext xmlns:c16="http://schemas.microsoft.com/office/drawing/2014/chart" uri="{C3380CC4-5D6E-409C-BE32-E72D297353CC}">
              <c16:uniqueId val="{00000008-F4F8-4C31-B790-6D440875584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1006370614088878"/>
          <c:y val="0.36794782498575318"/>
          <c:w val="0.30965053746243754"/>
          <c:h val="0.408125994718322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[Indian_Banking_data.xlsx]Sheet7!PivotTable4</c:name>
    <c:fmtId val="3"/>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IN" sz="1400"/>
              <a:t>Fraud Pattern by Region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835229974554155E-2"/>
          <c:y val="0.15479534745153337"/>
          <c:w val="0.82319044888139625"/>
          <c:h val="0.72948272090988631"/>
        </c:manualLayout>
      </c:layout>
      <c:barChart>
        <c:barDir val="col"/>
        <c:grouping val="stacked"/>
        <c:varyColors val="0"/>
        <c:ser>
          <c:idx val="0"/>
          <c:order val="0"/>
          <c:tx>
            <c:strRef>
              <c:f>Sheet7!$B$3:$B$4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Sheet7!$A$5:$A$10</c:f>
              <c:strCache>
                <c:ptCount val="5"/>
                <c:pt idx="0">
                  <c:v>Central</c:v>
                </c:pt>
                <c:pt idx="1">
                  <c:v>East</c:v>
                </c:pt>
                <c:pt idx="2">
                  <c:v>North</c:v>
                </c:pt>
                <c:pt idx="3">
                  <c:v>South</c:v>
                </c:pt>
                <c:pt idx="4">
                  <c:v>West</c:v>
                </c:pt>
              </c:strCache>
            </c:strRef>
          </c:cat>
          <c:val>
            <c:numRef>
              <c:f>Sheet7!$B$5:$B$10</c:f>
              <c:numCache>
                <c:formatCode>General</c:formatCode>
                <c:ptCount val="5"/>
                <c:pt idx="0">
                  <c:v>94</c:v>
                </c:pt>
                <c:pt idx="1">
                  <c:v>93</c:v>
                </c:pt>
                <c:pt idx="2">
                  <c:v>107</c:v>
                </c:pt>
                <c:pt idx="3">
                  <c:v>96</c:v>
                </c:pt>
                <c:pt idx="4">
                  <c:v>97</c:v>
                </c:pt>
              </c:numCache>
            </c:numRef>
          </c:val>
          <c:extLst>
            <c:ext xmlns:c16="http://schemas.microsoft.com/office/drawing/2014/chart" uri="{C3380CC4-5D6E-409C-BE32-E72D297353CC}">
              <c16:uniqueId val="{00000000-AEAD-4E65-A54E-0873E1C851AC}"/>
            </c:ext>
          </c:extLst>
        </c:ser>
        <c:ser>
          <c:idx val="1"/>
          <c:order val="1"/>
          <c:tx>
            <c:strRef>
              <c:f>Sheet7!$C$3:$C$4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Sheet7!$A$5:$A$10</c:f>
              <c:strCache>
                <c:ptCount val="5"/>
                <c:pt idx="0">
                  <c:v>Central</c:v>
                </c:pt>
                <c:pt idx="1">
                  <c:v>East</c:v>
                </c:pt>
                <c:pt idx="2">
                  <c:v>North</c:v>
                </c:pt>
                <c:pt idx="3">
                  <c:v>South</c:v>
                </c:pt>
                <c:pt idx="4">
                  <c:v>West</c:v>
                </c:pt>
              </c:strCache>
            </c:strRef>
          </c:cat>
          <c:val>
            <c:numRef>
              <c:f>Sheet7!$C$5:$C$10</c:f>
              <c:numCache>
                <c:formatCode>General</c:formatCode>
                <c:ptCount val="5"/>
                <c:pt idx="0">
                  <c:v>4</c:v>
                </c:pt>
                <c:pt idx="1">
                  <c:v>1</c:v>
                </c:pt>
                <c:pt idx="2">
                  <c:v>3</c:v>
                </c:pt>
                <c:pt idx="3">
                  <c:v>1</c:v>
                </c:pt>
                <c:pt idx="4">
                  <c:v>4</c:v>
                </c:pt>
              </c:numCache>
            </c:numRef>
          </c:val>
          <c:extLst>
            <c:ext xmlns:c16="http://schemas.microsoft.com/office/drawing/2014/chart" uri="{C3380CC4-5D6E-409C-BE32-E72D297353CC}">
              <c16:uniqueId val="{00000023-AEAD-4E65-A54E-0873E1C851AC}"/>
            </c:ext>
          </c:extLst>
        </c:ser>
        <c:dLbls>
          <c:dLblPos val="ctr"/>
          <c:showLegendKey val="0"/>
          <c:showVal val="1"/>
          <c:showCatName val="0"/>
          <c:showSerName val="0"/>
          <c:showPercent val="0"/>
          <c:showBubbleSize val="0"/>
        </c:dLbls>
        <c:gapWidth val="150"/>
        <c:overlap val="100"/>
        <c:axId val="1208682912"/>
        <c:axId val="249948496"/>
      </c:barChart>
      <c:catAx>
        <c:axId val="12086829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800" b="1" i="0" u="none" strike="noStrike" kern="1200" cap="all" baseline="0">
                <a:solidFill>
                  <a:schemeClr val="dk1">
                    <a:lumMod val="75000"/>
                    <a:lumOff val="25000"/>
                  </a:schemeClr>
                </a:solidFill>
                <a:latin typeface="+mn-lt"/>
                <a:ea typeface="+mn-ea"/>
                <a:cs typeface="+mn-cs"/>
              </a:defRPr>
            </a:pPr>
            <a:endParaRPr lang="en-US"/>
          </a:p>
        </c:txPr>
        <c:crossAx val="249948496"/>
        <c:crosses val="autoZero"/>
        <c:auto val="1"/>
        <c:lblAlgn val="ctr"/>
        <c:lblOffset val="100"/>
        <c:noMultiLvlLbl val="0"/>
      </c:catAx>
      <c:valAx>
        <c:axId val="249948496"/>
        <c:scaling>
          <c:orientation val="minMax"/>
        </c:scaling>
        <c:delete val="1"/>
        <c:axPos val="l"/>
        <c:numFmt formatCode="General" sourceLinked="1"/>
        <c:majorTickMark val="none"/>
        <c:minorTickMark val="none"/>
        <c:tickLblPos val="nextTo"/>
        <c:crossAx val="12086829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[Indian_Banking_data.xlsx]Sheet8!PivotTable5</c:name>
    <c:fmtId val="13"/>
  </c:pivotSource>
  <c:chart>
    <c:title>
      <c:tx>
        <c:rich>
          <a:bodyPr rot="0" spcFirstLastPara="1" vertOverflow="ellipsis" vert="horz" wrap="square" anchor="ctr" anchorCtr="1"/>
          <a:lstStyle/>
          <a:p>
            <a:pPr>
              <a:defRPr sz="1000" b="1" i="0" u="none" strike="noStrike" kern="1200" cap="all" spc="120" normalizeH="0" baseline="0">
                <a:solidFill>
                  <a:schemeClr val="tx1"/>
                </a:solidFill>
                <a:latin typeface="+mn-lt"/>
                <a:ea typeface="+mn-ea"/>
                <a:cs typeface="+mn-cs"/>
              </a:defRPr>
            </a:pPr>
            <a:r>
              <a:rPr lang="en-IN" sz="1000" b="1" i="0" u="none" strike="noStrike" cap="all" normalizeH="0" baseline="0">
                <a:solidFill>
                  <a:schemeClr val="tx1"/>
                </a:solidFill>
              </a:rPr>
              <a:t>Transaction Volume by Payment Channel</a:t>
            </a:r>
            <a:endParaRPr lang="en-US" sz="1000">
              <a:solidFill>
                <a:schemeClr val="tx1"/>
              </a:solidFill>
            </a:endParaRPr>
          </a:p>
        </c:rich>
      </c:tx>
      <c:overlay val="0"/>
      <c:spPr>
        <a:noFill/>
        <a:ln>
          <a:noFill/>
        </a:ln>
        <a:effectLst/>
      </c:spPr>
      <c:txPr>
        <a:bodyPr rot="0" spcFirstLastPara="1" vertOverflow="ellipsis" vert="horz" wrap="square" anchor="ctr" anchorCtr="1"/>
        <a:lstStyle/>
        <a:p>
          <a:pPr>
            <a:defRPr sz="1000" b="1" i="0" u="none" strike="noStrike" kern="1200" cap="all" spc="120" normalizeH="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diamond"/>
          <c:size val="6"/>
          <c:spPr>
            <a:solidFill>
              <a:schemeClr val="accent4"/>
            </a:solidFill>
            <a:ln w="9525">
              <a:solidFill>
                <a:schemeClr val="accent4"/>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Sheet8!$A$4:$A$9</c:f>
              <c:strCache>
                <c:ptCount val="5"/>
                <c:pt idx="0">
                  <c:v>Cash</c:v>
                </c:pt>
                <c:pt idx="1">
                  <c:v>Credit Card</c:v>
                </c:pt>
                <c:pt idx="2">
                  <c:v>Debit Card</c:v>
                </c:pt>
                <c:pt idx="3">
                  <c:v>Net Banking</c:v>
                </c:pt>
                <c:pt idx="4">
                  <c:v>UPI</c:v>
                </c:pt>
              </c:strCache>
            </c:strRef>
          </c:cat>
          <c:val>
            <c:numRef>
              <c:f>Sheet8!$B$4:$B$9</c:f>
              <c:numCache>
                <c:formatCode>General</c:formatCode>
                <c:ptCount val="5"/>
                <c:pt idx="0">
                  <c:v>98</c:v>
                </c:pt>
                <c:pt idx="1">
                  <c:v>100</c:v>
                </c:pt>
                <c:pt idx="2">
                  <c:v>128</c:v>
                </c:pt>
                <c:pt idx="3">
                  <c:v>80</c:v>
                </c:pt>
                <c:pt idx="4">
                  <c:v>94</c:v>
                </c:pt>
              </c:numCache>
            </c:numRef>
          </c:val>
          <c:extLst>
            <c:ext xmlns:c16="http://schemas.microsoft.com/office/drawing/2014/chart" uri="{C3380CC4-5D6E-409C-BE32-E72D297353CC}">
              <c16:uniqueId val="{00000000-13EA-420A-99B1-397D7ECB08C1}"/>
            </c:ext>
          </c:extLst>
        </c:ser>
        <c:dLbls>
          <c:dLblPos val="outEnd"/>
          <c:showLegendKey val="0"/>
          <c:showVal val="1"/>
          <c:showCatName val="0"/>
          <c:showSerName val="0"/>
          <c:showPercent val="0"/>
          <c:showBubbleSize val="0"/>
        </c:dLbls>
        <c:gapWidth val="444"/>
        <c:overlap val="-90"/>
        <c:axId val="1208673168"/>
        <c:axId val="508721488"/>
      </c:barChart>
      <c:catAx>
        <c:axId val="1208673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solidFill>
                <a:latin typeface="+mn-lt"/>
                <a:ea typeface="+mn-ea"/>
                <a:cs typeface="+mn-cs"/>
              </a:defRPr>
            </a:pPr>
            <a:endParaRPr lang="en-US"/>
          </a:p>
        </c:txPr>
        <c:crossAx val="508721488"/>
        <c:crosses val="autoZero"/>
        <c:auto val="1"/>
        <c:lblAlgn val="ctr"/>
        <c:lblOffset val="100"/>
        <c:noMultiLvlLbl val="0"/>
      </c:catAx>
      <c:valAx>
        <c:axId val="508721488"/>
        <c:scaling>
          <c:orientation val="minMax"/>
        </c:scaling>
        <c:delete val="1"/>
        <c:axPos val="l"/>
        <c:numFmt formatCode="General" sourceLinked="1"/>
        <c:majorTickMark val="none"/>
        <c:minorTickMark val="none"/>
        <c:tickLblPos val="nextTo"/>
        <c:crossAx val="1208673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[Indian_Banking_data.xlsx]Sheet9!PivotTable6</c:name>
    <c:fmtId val="5"/>
  </c:pivotSource>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IN" sz="1200" b="1" i="0" u="none" strike="noStrike" baseline="0">
                <a:solidFill>
                  <a:schemeClr val="tx1"/>
                </a:solidFill>
              </a:rPr>
              <a:t>Transaction Status Distribution</a:t>
            </a:r>
            <a:endParaRPr lang="en-US" sz="1200">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055752405949256E-2"/>
              <c:y val="-0.154674103237095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Sheet9!$B$3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FB9-41BA-A4C8-E509E3B682FA}"/>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FB9-41BA-A4C8-E509E3B682FA}"/>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FB9-41BA-A4C8-E509E3B682FA}"/>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FB9-41BA-A4C8-E509E3B682FA}"/>
              </c:ext>
            </c:extLst>
          </c:dPt>
          <c:dLbls>
            <c:dLbl>
              <c:idx val="0"/>
              <c:layout>
                <c:manualLayout>
                  <c:x val="-7.055752405949256E-2"/>
                  <c:y val="-0.1546741032370953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B9-41BA-A4C8-E509E3B682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Sheet9!$A$4:$A$8</c:f>
              <c:strCache>
                <c:ptCount val="4"/>
                <c:pt idx="0">
                  <c:v>Completed</c:v>
                </c:pt>
                <c:pt idx="1">
                  <c:v>Failed</c:v>
                </c:pt>
                <c:pt idx="2">
                  <c:v>Pending</c:v>
                </c:pt>
                <c:pt idx="3">
                  <c:v>Reversed</c:v>
                </c:pt>
              </c:strCache>
            </c:strRef>
          </c:cat>
          <c:val>
            <c:numRef>
              <c:f>Sheet9!$B$4:$B$8</c:f>
              <c:numCache>
                <c:formatCode>General</c:formatCode>
                <c:ptCount val="4"/>
                <c:pt idx="0">
                  <c:v>434</c:v>
                </c:pt>
                <c:pt idx="1">
                  <c:v>26</c:v>
                </c:pt>
                <c:pt idx="2">
                  <c:v>19</c:v>
                </c:pt>
                <c:pt idx="3">
                  <c:v>21</c:v>
                </c:pt>
              </c:numCache>
            </c:numRef>
          </c:val>
          <c:extLst>
            <c:ext xmlns:c16="http://schemas.microsoft.com/office/drawing/2014/chart" uri="{C3380CC4-5D6E-409C-BE32-E72D297353CC}">
              <c16:uniqueId val="{00000008-FFB9-41BA-A4C8-E509E3B682F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7796202322212342"/>
          <c:y val="0.31200461930863171"/>
          <c:w val="0.32057844214196152"/>
          <c:h val="0.5923935188631563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[Indian_Banking_data.xlsx]monthly_trends!PivotTable1</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Monthly Transaction Trend</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monthly_trends!$B$3</c:f>
              <c:strCache>
                <c:ptCount val="1"/>
                <c:pt idx="0">
                  <c:v>Total</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monthly_trends!$A$4:$A$16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monthly_trends!$B$4:$B$16</c:f>
              <c:numCache>
                <c:formatCode>General</c:formatCode>
                <c:ptCount val="12"/>
                <c:pt idx="0">
                  <c:v>45</c:v>
                </c:pt>
                <c:pt idx="1">
                  <c:v>45</c:v>
                </c:pt>
                <c:pt idx="2">
                  <c:v>40</c:v>
                </c:pt>
                <c:pt idx="3">
                  <c:v>45</c:v>
                </c:pt>
                <c:pt idx="4">
                  <c:v>42</c:v>
                </c:pt>
                <c:pt idx="5">
                  <c:v>35</c:v>
                </c:pt>
                <c:pt idx="6">
                  <c:v>34</c:v>
                </c:pt>
                <c:pt idx="7">
                  <c:v>39</c:v>
                </c:pt>
                <c:pt idx="8">
                  <c:v>40</c:v>
                </c:pt>
                <c:pt idx="9">
                  <c:v>41</c:v>
                </c:pt>
                <c:pt idx="10">
                  <c:v>55</c:v>
                </c:pt>
                <c:pt idx="11">
                  <c:v>39</c:v>
                </c:pt>
              </c:numCache>
            </c:numRef>
          </c:val>
          <c:smooth val="0"/>
          <c:extLst>
            <c:ext xmlns:c16="http://schemas.microsoft.com/office/drawing/2014/chart" uri="{C3380CC4-5D6E-409C-BE32-E72D297353CC}">
              <c16:uniqueId val="{00000000-D538-4A1E-B388-9F6699B590D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703378560"/>
        <c:axId val="508585168"/>
      </c:lineChart>
      <c:catAx>
        <c:axId val="70337856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08585168"/>
        <c:crosses val="autoZero"/>
        <c:auto val="1"/>
        <c:lblAlgn val="ctr"/>
        <c:lblOffset val="100"/>
        <c:noMultiLvlLbl val="0"/>
      </c:catAx>
      <c:valAx>
        <c:axId val="508585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0337856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[Indian_Banking_data.xlsx]Transaction Volume by Branch!PivotTable2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Transaction Volume by Branch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'Transaction Volume by Branch'!$B$3</c:f>
              <c:strCache>
                <c:ptCount val="1"/>
                <c:pt idx="0">
                  <c:v>Total</c:v>
                </c:pt>
              </c:strCache>
            </c:strRef>
          </c:tx>
          <c:spPr>
            <a:solidFill>
              <a:schemeClr val="accent1"/>
            </a:solidFill>
            <a:ln>
              <a:noFill/>
            </a:ln>
            <a:effectLst/>
            <a:sp3d/>
          </c:spPr>
          <c:invertIfNegative val="0"/>
          <c:cat>
            <c:strRef>
              <c:f>'Transaction Volume by Branch'!$A$4:$A$29</c:f>
              <c:strCache>
                <c:ptCount val="25"/>
                <c:pt idx="0">
                  <c:v>Chennai Branch</c:v>
                </c:pt>
                <c:pt idx="1">
                  <c:v>Indore Branch</c:v>
                </c:pt>
                <c:pt idx="2">
                  <c:v>Ahmedabad Branch</c:v>
                </c:pt>
                <c:pt idx="3">
                  <c:v>Lucknow Branch</c:v>
                </c:pt>
                <c:pt idx="4">
                  <c:v>Chandigarh Branch</c:v>
                </c:pt>
                <c:pt idx="5">
                  <c:v>Nagpur Branch</c:v>
                </c:pt>
                <c:pt idx="6">
                  <c:v>Jaipur Branch</c:v>
                </c:pt>
                <c:pt idx="7">
                  <c:v>Bhubaneswar Branch</c:v>
                </c:pt>
                <c:pt idx="8">
                  <c:v>Delhi Branch</c:v>
                </c:pt>
                <c:pt idx="9">
                  <c:v>Guwahati Branch</c:v>
                </c:pt>
                <c:pt idx="10">
                  <c:v>Surat Branch</c:v>
                </c:pt>
                <c:pt idx="11">
                  <c:v>Pune Branch</c:v>
                </c:pt>
                <c:pt idx="12">
                  <c:v>Amritsar Branch</c:v>
                </c:pt>
                <c:pt idx="13">
                  <c:v>Bhopal Branch</c:v>
                </c:pt>
                <c:pt idx="14">
                  <c:v>Gwalior Branch</c:v>
                </c:pt>
                <c:pt idx="15">
                  <c:v>Kolkata Branch</c:v>
                </c:pt>
                <c:pt idx="16">
                  <c:v>Hyderabad Branch</c:v>
                </c:pt>
                <c:pt idx="17">
                  <c:v>Bangalore Branch</c:v>
                </c:pt>
                <c:pt idx="18">
                  <c:v>Patna Branch</c:v>
                </c:pt>
                <c:pt idx="19">
                  <c:v>Coimbatore Branch</c:v>
                </c:pt>
                <c:pt idx="20">
                  <c:v>Kochi Branch</c:v>
                </c:pt>
                <c:pt idx="21">
                  <c:v>Jabalpur Branch</c:v>
                </c:pt>
                <c:pt idx="22">
                  <c:v>Raipur Branch</c:v>
                </c:pt>
                <c:pt idx="23">
                  <c:v>Ranchi Branch</c:v>
                </c:pt>
                <c:pt idx="24">
                  <c:v>Mumbai Branch</c:v>
                </c:pt>
              </c:strCache>
            </c:strRef>
          </c:cat>
          <c:val>
            <c:numRef>
              <c:f>'Transaction Volume by Branch'!$B$4:$B$29</c:f>
              <c:numCache>
                <c:formatCode>General</c:formatCode>
                <c:ptCount val="25"/>
                <c:pt idx="0">
                  <c:v>28</c:v>
                </c:pt>
                <c:pt idx="1">
                  <c:v>28</c:v>
                </c:pt>
                <c:pt idx="2">
                  <c:v>26</c:v>
                </c:pt>
                <c:pt idx="3">
                  <c:v>23</c:v>
                </c:pt>
                <c:pt idx="4">
                  <c:v>23</c:v>
                </c:pt>
                <c:pt idx="5">
                  <c:v>22</c:v>
                </c:pt>
                <c:pt idx="6">
                  <c:v>22</c:v>
                </c:pt>
                <c:pt idx="7">
                  <c:v>22</c:v>
                </c:pt>
                <c:pt idx="8">
                  <c:v>22</c:v>
                </c:pt>
                <c:pt idx="9">
                  <c:v>22</c:v>
                </c:pt>
                <c:pt idx="10">
                  <c:v>21</c:v>
                </c:pt>
                <c:pt idx="11">
                  <c:v>20</c:v>
                </c:pt>
                <c:pt idx="12">
                  <c:v>20</c:v>
                </c:pt>
                <c:pt idx="13">
                  <c:v>20</c:v>
                </c:pt>
                <c:pt idx="14">
                  <c:v>19</c:v>
                </c:pt>
                <c:pt idx="15">
                  <c:v>19</c:v>
                </c:pt>
                <c:pt idx="16">
                  <c:v>19</c:v>
                </c:pt>
                <c:pt idx="17">
                  <c:v>17</c:v>
                </c:pt>
                <c:pt idx="18">
                  <c:v>17</c:v>
                </c:pt>
                <c:pt idx="19">
                  <c:v>17</c:v>
                </c:pt>
                <c:pt idx="20">
                  <c:v>16</c:v>
                </c:pt>
                <c:pt idx="21">
                  <c:v>16</c:v>
                </c:pt>
                <c:pt idx="22">
                  <c:v>15</c:v>
                </c:pt>
                <c:pt idx="23">
                  <c:v>14</c:v>
                </c:pt>
                <c:pt idx="24">
                  <c:v>12</c:v>
                </c:pt>
              </c:numCache>
            </c:numRef>
          </c:val>
          <c:extLst>
            <c:ext xmlns:c16="http://schemas.microsoft.com/office/drawing/2014/chart" uri="{C3380CC4-5D6E-409C-BE32-E72D297353CC}">
              <c16:uniqueId val="{00000000-43C5-48C3-9B36-DB9C298D2904}"/>
            </c:ext>
          </c:extLst>
        </c:ser>
        <c:dLbls>
          <c:showLegendKey val="0"/>
          <c:showVal val="0"/>
          <c:showCatName val="0"/>
          <c:showSerName val="0"/>
          <c:showPercent val="0"/>
          <c:showBubbleSize val="0"/>
        </c:dLbls>
        <c:gapWidth val="150"/>
        <c:shape val="box"/>
        <c:axId val="913327968"/>
        <c:axId val="508581808"/>
        <c:axId val="0"/>
      </c:bar3DChart>
      <c:catAx>
        <c:axId val="913327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581808"/>
        <c:crosses val="autoZero"/>
        <c:auto val="1"/>
        <c:lblAlgn val="ctr"/>
        <c:lblOffset val="100"/>
        <c:noMultiLvlLbl val="0"/>
      </c:catAx>
      <c:valAx>
        <c:axId val="50858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32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[Indian_Banking_data.xlsx]Sheet6!PivotTable3</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1" i="0" u="none" strike="noStrike" cap="all" baseline="0"/>
              <a:t>Transaction Type Breakdown</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Sheet6!$B$3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E2C-4A81-A982-9B6170AAEBE7}"/>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E2C-4A81-A982-9B6170AAEBE7}"/>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E2C-4A81-A982-9B6170AAEBE7}"/>
              </c:ext>
            </c:extLst>
          </c:dPt>
          <c:dPt>
            <c:idx val="3"/>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E2C-4A81-A982-9B6170AAEBE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Sheet6!$A$4:$A$8</c:f>
              <c:strCache>
                <c:ptCount val="4"/>
                <c:pt idx="0">
                  <c:v>Cheque</c:v>
                </c:pt>
                <c:pt idx="1">
                  <c:v>Deposit</c:v>
                </c:pt>
                <c:pt idx="2">
                  <c:v>Online Transfer</c:v>
                </c:pt>
                <c:pt idx="3">
                  <c:v>Withdrawal</c:v>
                </c:pt>
              </c:strCache>
            </c:strRef>
          </c:cat>
          <c:val>
            <c:numRef>
              <c:f>Sheet6!$B$4:$B$8</c:f>
              <c:numCache>
                <c:formatCode>General</c:formatCode>
                <c:ptCount val="4"/>
                <c:pt idx="0">
                  <c:v>108</c:v>
                </c:pt>
                <c:pt idx="1">
                  <c:v>140</c:v>
                </c:pt>
                <c:pt idx="2">
                  <c:v>136</c:v>
                </c:pt>
                <c:pt idx="3">
                  <c:v>116</c:v>
                </c:pt>
              </c:numCache>
            </c:numRef>
          </c:val>
          <c:extLst>
            <c:ext xmlns:c16="http://schemas.microsoft.com/office/drawing/2014/chart" uri="{C3380CC4-5D6E-409C-BE32-E72D297353CC}">
              <c16:uniqueId val="{00000000-9F7E-486E-9CB8-2C31C56DD21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[Indian_Banking_data.xlsx]Sheet7!PivotTable4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Fraud Pattern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Sheet7!$B$3:$B$4</c:f>
              <c:strCache>
                <c:ptCount val="1"/>
                <c:pt idx="0">
                  <c:v>No</c:v>
                </c:pt>
              </c:strCache>
            </c:strRef>
          </c:tx>
          <c:spPr>
            <a:solidFill>
              <a:schemeClr val="accent1"/>
            </a:solidFill>
            <a:ln>
              <a:noFill/>
            </a:ln>
            <a:effectLst/>
          </c:spPr>
          <c:invertIfNegative val="0"/>
          <c:cat>
            <c:strRef>
              <c:f>Sheet7!$A$5:$A$10</c:f>
              <c:strCache>
                <c:ptCount val="5"/>
                <c:pt idx="0">
                  <c:v>Central</c:v>
                </c:pt>
                <c:pt idx="1">
                  <c:v>East</c:v>
                </c:pt>
                <c:pt idx="2">
                  <c:v>North</c:v>
                </c:pt>
                <c:pt idx="3">
                  <c:v>South</c:v>
                </c:pt>
                <c:pt idx="4">
                  <c:v>West</c:v>
                </c:pt>
              </c:strCache>
            </c:strRef>
          </c:cat>
          <c:val>
            <c:numRef>
              <c:f>Sheet7!$B$5:$B$10</c:f>
              <c:numCache>
                <c:formatCode>General</c:formatCode>
                <c:ptCount val="5"/>
                <c:pt idx="0">
                  <c:v>94</c:v>
                </c:pt>
                <c:pt idx="1">
                  <c:v>93</c:v>
                </c:pt>
                <c:pt idx="2">
                  <c:v>107</c:v>
                </c:pt>
                <c:pt idx="3">
                  <c:v>96</c:v>
                </c:pt>
                <c:pt idx="4">
                  <c:v>97</c:v>
                </c:pt>
              </c:numCache>
            </c:numRef>
          </c:val>
          <c:extLst>
            <c:ext xmlns:c16="http://schemas.microsoft.com/office/drawing/2014/chart" uri="{C3380CC4-5D6E-409C-BE32-E72D297353CC}">
              <c16:uniqueId val="{00000000-E075-4AF6-90B4-49F12098D94F}"/>
            </c:ext>
          </c:extLst>
        </c:ser>
        <c:ser>
          <c:idx val="1"/>
          <c:order val="1"/>
          <c:tx>
            <c:strRef>
              <c:f>Sheet7!$C$3:$C$4</c:f>
              <c:strCache>
                <c:ptCount val="1"/>
                <c:pt idx="0">
                  <c:v>Yes</c:v>
                </c:pt>
              </c:strCache>
            </c:strRef>
          </c:tx>
          <c:spPr>
            <a:solidFill>
              <a:schemeClr val="accent2"/>
            </a:solidFill>
            <a:ln>
              <a:noFill/>
            </a:ln>
            <a:effectLst/>
          </c:spPr>
          <c:invertIfNegative val="0"/>
          <c:cat>
            <c:strRef>
              <c:f>Sheet7!$A$5:$A$10</c:f>
              <c:strCache>
                <c:ptCount val="5"/>
                <c:pt idx="0">
                  <c:v>Central</c:v>
                </c:pt>
                <c:pt idx="1">
                  <c:v>East</c:v>
                </c:pt>
                <c:pt idx="2">
                  <c:v>North</c:v>
                </c:pt>
                <c:pt idx="3">
                  <c:v>South</c:v>
                </c:pt>
                <c:pt idx="4">
                  <c:v>West</c:v>
                </c:pt>
              </c:strCache>
            </c:strRef>
          </c:cat>
          <c:val>
            <c:numRef>
              <c:f>Sheet7!$C$5:$C$10</c:f>
              <c:numCache>
                <c:formatCode>General</c:formatCode>
                <c:ptCount val="5"/>
                <c:pt idx="0">
                  <c:v>4</c:v>
                </c:pt>
                <c:pt idx="1">
                  <c:v>1</c:v>
                </c:pt>
                <c:pt idx="2">
                  <c:v>3</c:v>
                </c:pt>
                <c:pt idx="3">
                  <c:v>1</c:v>
                </c:pt>
                <c:pt idx="4">
                  <c:v>4</c:v>
                </c:pt>
              </c:numCache>
            </c:numRef>
          </c:val>
          <c:extLst>
            <c:ext xmlns:c16="http://schemas.microsoft.com/office/drawing/2014/chart" uri="{C3380CC4-5D6E-409C-BE32-E72D297353CC}">
              <c16:uniqueId val="{00000023-E075-4AF6-90B4-49F12098D94F}"/>
            </c:ext>
          </c:extLst>
        </c:ser>
        <c:dLbls>
          <c:showLegendKey val="0"/>
          <c:showVal val="0"/>
          <c:showCatName val="0"/>
          <c:showSerName val="0"/>
          <c:showPercent val="0"/>
          <c:showBubbleSize val="0"/>
        </c:dLbls>
        <c:gapWidth val="150"/>
        <c:overlap val="100"/>
        <c:axId val="1208682912"/>
        <c:axId val="249948496"/>
      </c:barChart>
      <c:catAx>
        <c:axId val="120868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948496"/>
        <c:crosses val="autoZero"/>
        <c:auto val="1"/>
        <c:lblAlgn val="ctr"/>
        <c:lblOffset val="100"/>
        <c:noMultiLvlLbl val="0"/>
      </c:catAx>
      <c:valAx>
        <c:axId val="249948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68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[Indian_Banking_data.xlsx]Sheet8!PivotTable5</c:name>
    <c:fmtId val="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600" b="1" i="0" u="none" strike="noStrike" cap="all" normalizeH="0" baseline="0"/>
              <a:t>Transaction Volume by Payment Channel</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Sheet8!$A$4:$A$9</c:f>
              <c:strCache>
                <c:ptCount val="5"/>
                <c:pt idx="0">
                  <c:v>Cash</c:v>
                </c:pt>
                <c:pt idx="1">
                  <c:v>Credit Card</c:v>
                </c:pt>
                <c:pt idx="2">
                  <c:v>Debit Card</c:v>
                </c:pt>
                <c:pt idx="3">
                  <c:v>Net Banking</c:v>
                </c:pt>
                <c:pt idx="4">
                  <c:v>UPI</c:v>
                </c:pt>
              </c:strCache>
            </c:strRef>
          </c:cat>
          <c:val>
            <c:numRef>
              <c:f>Sheet8!$B$4:$B$9</c:f>
              <c:numCache>
                <c:formatCode>General</c:formatCode>
                <c:ptCount val="5"/>
                <c:pt idx="0">
                  <c:v>98</c:v>
                </c:pt>
                <c:pt idx="1">
                  <c:v>100</c:v>
                </c:pt>
                <c:pt idx="2">
                  <c:v>128</c:v>
                </c:pt>
                <c:pt idx="3">
                  <c:v>80</c:v>
                </c:pt>
                <c:pt idx="4">
                  <c:v>94</c:v>
                </c:pt>
              </c:numCache>
            </c:numRef>
          </c:val>
          <c:extLst>
            <c:ext xmlns:c16="http://schemas.microsoft.com/office/drawing/2014/chart" uri="{C3380CC4-5D6E-409C-BE32-E72D297353CC}">
              <c16:uniqueId val="{00000000-DF39-4A27-87D2-28EEA336E195}"/>
            </c:ext>
          </c:extLst>
        </c:ser>
        <c:dLbls>
          <c:dLblPos val="outEnd"/>
          <c:showLegendKey val="0"/>
          <c:showVal val="1"/>
          <c:showCatName val="0"/>
          <c:showSerName val="0"/>
          <c:showPercent val="0"/>
          <c:showBubbleSize val="0"/>
        </c:dLbls>
        <c:gapWidth val="444"/>
        <c:overlap val="-90"/>
        <c:axId val="1208673168"/>
        <c:axId val="508721488"/>
      </c:barChart>
      <c:catAx>
        <c:axId val="1208673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08721488"/>
        <c:crosses val="autoZero"/>
        <c:auto val="1"/>
        <c:lblAlgn val="ctr"/>
        <c:lblOffset val="100"/>
        <c:noMultiLvlLbl val="0"/>
      </c:catAx>
      <c:valAx>
        <c:axId val="508721488"/>
        <c:scaling>
          <c:orientation val="minMax"/>
        </c:scaling>
        <c:delete val="1"/>
        <c:axPos val="l"/>
        <c:numFmt formatCode="General" sourceLinked="1"/>
        <c:majorTickMark val="none"/>
        <c:minorTickMark val="none"/>
        <c:tickLblPos val="nextTo"/>
        <c:crossAx val="1208673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[Indian_Banking_data.xlsx]Sheet9!PivotTable6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Sheet9!$B$3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AA-49B9-8771-E497AB1009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AA-49B9-8771-E497AB1009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AA-49B9-8771-E497AB1009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AA-49B9-8771-E497AB1009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Sheet9!$A$4:$A$8</c:f>
              <c:strCache>
                <c:ptCount val="4"/>
                <c:pt idx="0">
                  <c:v>Completed</c:v>
                </c:pt>
                <c:pt idx="1">
                  <c:v>Failed</c:v>
                </c:pt>
                <c:pt idx="2">
                  <c:v>Pending</c:v>
                </c:pt>
                <c:pt idx="3">
                  <c:v>Reversed</c:v>
                </c:pt>
              </c:strCache>
            </c:strRef>
          </c:cat>
          <c:val>
            <c:numRef>
              <c:f>Sheet9!$B$4:$B$8</c:f>
              <c:numCache>
                <c:formatCode>General</c:formatCode>
                <c:ptCount val="4"/>
                <c:pt idx="0">
                  <c:v>434</c:v>
                </c:pt>
                <c:pt idx="1">
                  <c:v>26</c:v>
                </c:pt>
                <c:pt idx="2">
                  <c:v>19</c:v>
                </c:pt>
                <c:pt idx="3">
                  <c:v>21</c:v>
                </c:pt>
              </c:numCache>
            </c:numRef>
          </c:val>
          <c:extLst>
            <c:ext xmlns:c16="http://schemas.microsoft.com/office/drawing/2014/chart" uri="{C3380CC4-5D6E-409C-BE32-E72D297353CC}">
              <c16:uniqueId val="{00000000-B9E0-464A-9202-7E4F79676D3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76200</xdr:colOff>
      <xdr:row>6</xdr:row>
      <xdr:rowOff>45720</xdr:rowOff>
    </xdr:from>
    <xdr:to>
      <xdr:col>8</xdr:col>
      <xdr:colOff>114300</xdr:colOff>
      <xdr:row>18</xdr:row>
      <xdr:rowOff>167640</xdr:rowOff>
    </xdr:to>
    <xdr:graphicFrame macro="">
      <xdr:nvGraphicFramePr>
        <xdr:cNvPr id="6" name="Chart 5">
          <a:extLst>
            <a:ext uri="{FF2B5EF4-FFF2-40B4-BE49-F238E27FC236}">
              <a16:creationId xmlns:a16="http://schemas.microsoft.com/office/drawing/2014/main" id="{B500F03E-AAE9-804B-178D-13AB7B416D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245061</xdr:colOff>
      <xdr:row>6</xdr:row>
      <xdr:rowOff>180974</xdr:rowOff>
    </xdr:from>
    <xdr:to>
      <xdr:col>9</xdr:col>
      <xdr:colOff>361950</xdr:colOff>
      <xdr:row>18</xdr:row>
      <xdr:rowOff>114299</xdr:rowOff>
    </xdr:to>
    <xdr:graphicFrame macro="">
      <xdr:nvGraphicFramePr>
        <xdr:cNvPr id="3" name="Chart 2">
          <a:extLst>
            <a:ext uri="{FF2B5EF4-FFF2-40B4-BE49-F238E27FC236}">
              <a16:creationId xmlns:a16="http://schemas.microsoft.com/office/drawing/2014/main" id="{E70542C6-2887-4E33-A56D-DE3DE2551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66675</xdr:colOff>
      <xdr:row>6</xdr:row>
      <xdr:rowOff>142875</xdr:rowOff>
    </xdr:from>
    <xdr:to>
      <xdr:col>16</xdr:col>
      <xdr:colOff>228600</xdr:colOff>
      <xdr:row>18</xdr:row>
      <xdr:rowOff>28574</xdr:rowOff>
    </xdr:to>
    <xdr:graphicFrame macro="">
      <xdr:nvGraphicFramePr>
        <xdr:cNvPr id="4" name="Chart 3">
          <a:extLst>
            <a:ext uri="{FF2B5EF4-FFF2-40B4-BE49-F238E27FC236}">
              <a16:creationId xmlns:a16="http://schemas.microsoft.com/office/drawing/2014/main" id="{B61B9C44-20F8-4FEB-9C61-CA6138A9F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276226</xdr:colOff>
      <xdr:row>20</xdr:row>
      <xdr:rowOff>0</xdr:rowOff>
    </xdr:from>
    <xdr:to>
      <xdr:col>10</xdr:col>
      <xdr:colOff>561976</xdr:colOff>
      <xdr:row>34</xdr:row>
      <xdr:rowOff>142875</xdr:rowOff>
    </xdr:to>
    <xdr:graphicFrame macro="">
      <xdr:nvGraphicFramePr>
        <xdr:cNvPr id="5" name="Chart 4">
          <a:extLst>
            <a:ext uri="{FF2B5EF4-FFF2-40B4-BE49-F238E27FC236}">
              <a16:creationId xmlns:a16="http://schemas.microsoft.com/office/drawing/2014/main" id="{1EA3FA44-1A48-4AC6-9237-2E03230AB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114301</xdr:colOff>
      <xdr:row>20</xdr:row>
      <xdr:rowOff>2034</xdr:rowOff>
    </xdr:from>
    <xdr:to>
      <xdr:col>17</xdr:col>
      <xdr:colOff>28575</xdr:colOff>
      <xdr:row>34</xdr:row>
      <xdr:rowOff>76200</xdr:rowOff>
    </xdr:to>
    <xdr:graphicFrame macro="">
      <xdr:nvGraphicFramePr>
        <xdr:cNvPr id="6" name="Chart 5">
          <a:extLst>
            <a:ext uri="{FF2B5EF4-FFF2-40B4-BE49-F238E27FC236}">
              <a16:creationId xmlns:a16="http://schemas.microsoft.com/office/drawing/2014/main" id="{BBA0D935-5BE0-4D7F-A77C-6BF7F94D8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294606</xdr:colOff>
      <xdr:row>20</xdr:row>
      <xdr:rowOff>16831</xdr:rowOff>
    </xdr:from>
    <xdr:to>
      <xdr:col>22</xdr:col>
      <xdr:colOff>552450</xdr:colOff>
      <xdr:row>34</xdr:row>
      <xdr:rowOff>47625</xdr:rowOff>
    </xdr:to>
    <xdr:graphicFrame macro="">
      <xdr:nvGraphicFramePr>
        <xdr:cNvPr id="7" name="Chart 6">
          <a:extLst>
            <a:ext uri="{FF2B5EF4-FFF2-40B4-BE49-F238E27FC236}">
              <a16:creationId xmlns:a16="http://schemas.microsoft.com/office/drawing/2014/main" id="{D51CAF2B-7D97-4DB4-970B-FAD3F3ECE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396869</xdr:colOff>
      <xdr:row>6</xdr:row>
      <xdr:rowOff>57150</xdr:rowOff>
    </xdr:from>
    <xdr:to>
      <xdr:col>23</xdr:col>
      <xdr:colOff>114300</xdr:colOff>
      <xdr:row>19</xdr:row>
      <xdr:rowOff>95250</xdr:rowOff>
    </xdr:to>
    <xdr:graphicFrame macro="">
      <xdr:nvGraphicFramePr>
        <xdr:cNvPr id="8" name="Chart 7">
          <a:extLst>
            <a:ext uri="{FF2B5EF4-FFF2-40B4-BE49-F238E27FC236}">
              <a16:creationId xmlns:a16="http://schemas.microsoft.com/office/drawing/2014/main" id="{8A9BE290-54B8-4B3E-BE06-10BC68701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257175</xdr:colOff>
      <xdr:row>11</xdr:row>
      <xdr:rowOff>127892</xdr:rowOff>
    </xdr:from>
    <xdr:to>
      <xdr:col>28</xdr:col>
      <xdr:colOff>571500</xdr:colOff>
      <xdr:row>26</xdr:row>
      <xdr:rowOff>164885</xdr:rowOff>
    </xdr:to>
    <xdr:graphicFrame macro="">
      <xdr:nvGraphicFramePr>
        <xdr:cNvPr id="9" name="Chart 8">
          <a:extLst>
            <a:ext uri="{FF2B5EF4-FFF2-40B4-BE49-F238E27FC236}">
              <a16:creationId xmlns:a16="http://schemas.microsoft.com/office/drawing/2014/main" id="{D2E9D290-F702-41ED-9E10-56F7CEC1E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38101</xdr:colOff>
      <xdr:row>11</xdr:row>
      <xdr:rowOff>20956</xdr:rowOff>
    </xdr:from>
    <xdr:to>
      <xdr:col>2</xdr:col>
      <xdr:colOff>542925</xdr:colOff>
      <xdr:row>21</xdr:row>
      <xdr:rowOff>47626</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C15B5D2D-BCD3-4FB6-D4CE-E1FA6A76E49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101" y="2192656"/>
              <a:ext cx="1724024" cy="1836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xdr:row>
      <xdr:rowOff>28575</xdr:rowOff>
    </xdr:from>
    <xdr:to>
      <xdr:col>2</xdr:col>
      <xdr:colOff>504825</xdr:colOff>
      <xdr:row>10</xdr:row>
      <xdr:rowOff>104775</xdr:rowOff>
    </xdr:to>
    <mc:AlternateContent xmlns:mc="http://schemas.openxmlformats.org/markup-compatibility/2006" xmlns:a14="http://schemas.microsoft.com/office/drawing/2010/main">
      <mc:Choice Requires="a14">
        <xdr:graphicFrame macro="">
          <xdr:nvGraphicFramePr>
            <xdr:cNvPr id="12" name="Payment Mode">
              <a:extLst>
                <a:ext uri="{FF2B5EF4-FFF2-40B4-BE49-F238E27FC236}">
                  <a16:creationId xmlns:a16="http://schemas.microsoft.com/office/drawing/2014/main" id="{9FA602E1-02D4-1317-A704-33C82900BA82}"/>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28575" y="390525"/>
              <a:ext cx="1695450" cy="1704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419100</xdr:colOff>
      <xdr:row>1</xdr:row>
      <xdr:rowOff>123825</xdr:rowOff>
    </xdr:from>
    <xdr:to>
      <xdr:col>14</xdr:col>
      <xdr:colOff>600075</xdr:colOff>
      <xdr:row>5</xdr:row>
      <xdr:rowOff>133350</xdr:rowOff>
    </xdr:to>
    <xdr:sp macro="" textlink="">
      <xdr:nvSpPr>
        <xdr:cNvPr id="15" name="Rectangle: Rounded Corners 14">
          <a:extLst>
            <a:ext uri="{FF2B5EF4-FFF2-40B4-BE49-F238E27FC236}">
              <a16:creationId xmlns:a16="http://schemas.microsoft.com/office/drawing/2014/main" id="{3348E50E-9BA8-758E-2D0A-076B15C1A33C}"/>
            </a:ext>
          </a:extLst>
        </xdr:cNvPr>
        <xdr:cNvSpPr/>
      </xdr:nvSpPr>
      <xdr:spPr>
        <a:xfrm>
          <a:off x="7124700" y="485775"/>
          <a:ext cx="2009775" cy="7334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114300</xdr:colOff>
      <xdr:row>1</xdr:row>
      <xdr:rowOff>114300</xdr:rowOff>
    </xdr:from>
    <xdr:to>
      <xdr:col>20</xdr:col>
      <xdr:colOff>295275</xdr:colOff>
      <xdr:row>5</xdr:row>
      <xdr:rowOff>123825</xdr:rowOff>
    </xdr:to>
    <xdr:sp macro="" textlink="">
      <xdr:nvSpPr>
        <xdr:cNvPr id="16" name="Rectangle: Rounded Corners 15">
          <a:extLst>
            <a:ext uri="{FF2B5EF4-FFF2-40B4-BE49-F238E27FC236}">
              <a16:creationId xmlns:a16="http://schemas.microsoft.com/office/drawing/2014/main" id="{260FE513-049B-42EA-BCD4-E446798C5E1E}"/>
            </a:ext>
          </a:extLst>
        </xdr:cNvPr>
        <xdr:cNvSpPr/>
      </xdr:nvSpPr>
      <xdr:spPr>
        <a:xfrm>
          <a:off x="10477500" y="476250"/>
          <a:ext cx="2009775" cy="7334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123825</xdr:colOff>
      <xdr:row>1</xdr:row>
      <xdr:rowOff>95250</xdr:rowOff>
    </xdr:from>
    <xdr:to>
      <xdr:col>26</xdr:col>
      <xdr:colOff>304800</xdr:colOff>
      <xdr:row>5</xdr:row>
      <xdr:rowOff>104775</xdr:rowOff>
    </xdr:to>
    <xdr:sp macro="" textlink="">
      <xdr:nvSpPr>
        <xdr:cNvPr id="17" name="Rectangle: Rounded Corners 16">
          <a:extLst>
            <a:ext uri="{FF2B5EF4-FFF2-40B4-BE49-F238E27FC236}">
              <a16:creationId xmlns:a16="http://schemas.microsoft.com/office/drawing/2014/main" id="{41D78FDC-98D6-45AB-881A-23954F723AA9}"/>
            </a:ext>
          </a:extLst>
        </xdr:cNvPr>
        <xdr:cNvSpPr/>
      </xdr:nvSpPr>
      <xdr:spPr>
        <a:xfrm>
          <a:off x="14144625" y="457200"/>
          <a:ext cx="2009775" cy="7334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523875</xdr:colOff>
      <xdr:row>1</xdr:row>
      <xdr:rowOff>114300</xdr:rowOff>
    </xdr:from>
    <xdr:to>
      <xdr:col>9</xdr:col>
      <xdr:colOff>95250</xdr:colOff>
      <xdr:row>5</xdr:row>
      <xdr:rowOff>123825</xdr:rowOff>
    </xdr:to>
    <xdr:sp macro="" textlink="">
      <xdr:nvSpPr>
        <xdr:cNvPr id="25" name="Rectangle: Rounded Corners 24">
          <a:extLst>
            <a:ext uri="{FF2B5EF4-FFF2-40B4-BE49-F238E27FC236}">
              <a16:creationId xmlns:a16="http://schemas.microsoft.com/office/drawing/2014/main" id="{E86D308D-ED2F-416A-847E-69FFECE5C651}"/>
            </a:ext>
          </a:extLst>
        </xdr:cNvPr>
        <xdr:cNvSpPr/>
      </xdr:nvSpPr>
      <xdr:spPr>
        <a:xfrm>
          <a:off x="3571875" y="476250"/>
          <a:ext cx="2009775" cy="733425"/>
        </a:xfrm>
        <a:prstGeom prst="roundRect">
          <a:avLst>
            <a:gd name="adj" fmla="val 205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600075</xdr:colOff>
      <xdr:row>2</xdr:row>
      <xdr:rowOff>19050</xdr:rowOff>
    </xdr:from>
    <xdr:to>
      <xdr:col>9</xdr:col>
      <xdr:colOff>28575</xdr:colOff>
      <xdr:row>3</xdr:row>
      <xdr:rowOff>151174</xdr:rowOff>
    </xdr:to>
    <xdr:sp macro="" textlink="">
      <xdr:nvSpPr>
        <xdr:cNvPr id="28" name="TextBox 27">
          <a:extLst>
            <a:ext uri="{FF2B5EF4-FFF2-40B4-BE49-F238E27FC236}">
              <a16:creationId xmlns:a16="http://schemas.microsoft.com/office/drawing/2014/main" id="{6F2DF8ED-43E2-0740-BFD8-36480C18AFDB}"/>
            </a:ext>
          </a:extLst>
        </xdr:cNvPr>
        <xdr:cNvSpPr txBox="1"/>
      </xdr:nvSpPr>
      <xdr:spPr>
        <a:xfrm>
          <a:off x="3648075" y="561975"/>
          <a:ext cx="1866900" cy="313099"/>
        </a:xfrm>
        <a:prstGeom prst="rect">
          <a:avLst/>
        </a:prstGeom>
        <a:noFill/>
        <a:ln w="9525" cmpd="sng">
          <a:noFill/>
        </a:ln>
        <a:effectLst>
          <a:outerShdw blurRad="50800" dist="50800" dir="5400000" sx="21000" sy="21000" algn="ctr" rotWithShape="0">
            <a:schemeClr val="bg2">
              <a:lumMod val="95000"/>
            </a:schemeClr>
          </a:outerShdw>
          <a:reflection endPos="19000" dist="50800" dir="5400000" sy="-100000" algn="bl" rotWithShape="0"/>
          <a:softEdge rad="101600"/>
        </a:effectLst>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t">
          <a:spAutoFit/>
        </a:bodyPr>
        <a:lstStyle/>
        <a:p>
          <a:r>
            <a:rPr lang="en-IN" sz="1800" b="1">
              <a:solidFill>
                <a:schemeClr val="bg1">
                  <a:lumMod val="95000"/>
                </a:schemeClr>
              </a:solidFill>
              <a:effectLst>
                <a:outerShdw blurRad="50800" dist="50800" dir="5400000" sx="1000" sy="1000" algn="ctr" rotWithShape="0">
                  <a:srgbClr val="000000">
                    <a:alpha val="43137"/>
                  </a:srgbClr>
                </a:outerShdw>
              </a:effectLst>
            </a:rPr>
            <a:t>Total</a:t>
          </a:r>
          <a:r>
            <a:rPr lang="en-IN" sz="1800" b="1" baseline="0">
              <a:solidFill>
                <a:schemeClr val="bg1">
                  <a:lumMod val="95000"/>
                </a:schemeClr>
              </a:solidFill>
              <a:effectLst>
                <a:outerShdw blurRad="50800" dist="50800" dir="5400000" sx="1000" sy="1000" algn="ctr" rotWithShape="0">
                  <a:srgbClr val="000000">
                    <a:alpha val="43137"/>
                  </a:srgbClr>
                </a:outerShdw>
              </a:effectLst>
            </a:rPr>
            <a:t> </a:t>
          </a:r>
          <a:r>
            <a:rPr lang="en-IN" sz="2000" b="1" baseline="0">
              <a:solidFill>
                <a:schemeClr val="bg1">
                  <a:lumMod val="95000"/>
                </a:schemeClr>
              </a:solidFill>
              <a:effectLst>
                <a:outerShdw blurRad="50800" dist="50800" dir="5400000" sx="1000" sy="1000" algn="ctr" rotWithShape="0">
                  <a:srgbClr val="000000"/>
                </a:outerShdw>
              </a:effectLst>
            </a:rPr>
            <a:t>Transaction</a:t>
          </a:r>
          <a:endParaRPr lang="en-IN" sz="1800" b="1">
            <a:solidFill>
              <a:schemeClr val="bg1">
                <a:lumMod val="95000"/>
              </a:schemeClr>
            </a:solidFill>
            <a:effectLst>
              <a:outerShdw blurRad="50800" dist="50800" dir="5400000" sx="1000" sy="1000" algn="ctr" rotWithShape="0">
                <a:srgbClr val="000000"/>
              </a:outerShdw>
            </a:effectLst>
          </a:endParaRPr>
        </a:p>
      </xdr:txBody>
    </xdr:sp>
    <xdr:clientData/>
  </xdr:twoCellAnchor>
  <xdr:twoCellAnchor>
    <xdr:from>
      <xdr:col>7</xdr:col>
      <xdr:colOff>9525</xdr:colOff>
      <xdr:row>3</xdr:row>
      <xdr:rowOff>104774</xdr:rowOff>
    </xdr:from>
    <xdr:to>
      <xdr:col>8</xdr:col>
      <xdr:colOff>19050</xdr:colOff>
      <xdr:row>5</xdr:row>
      <xdr:rowOff>57149</xdr:rowOff>
    </xdr:to>
    <xdr:sp macro="" textlink="Sheet11!A4">
      <xdr:nvSpPr>
        <xdr:cNvPr id="33" name="TextBox 32">
          <a:extLst>
            <a:ext uri="{FF2B5EF4-FFF2-40B4-BE49-F238E27FC236}">
              <a16:creationId xmlns:a16="http://schemas.microsoft.com/office/drawing/2014/main" id="{112998E1-9AA2-32DF-3F1E-F8DDFFAEE0C9}"/>
            </a:ext>
          </a:extLst>
        </xdr:cNvPr>
        <xdr:cNvSpPr txBox="1"/>
      </xdr:nvSpPr>
      <xdr:spPr>
        <a:xfrm>
          <a:off x="4276725" y="828674"/>
          <a:ext cx="6191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883EAEA8-F3A7-4A83-9BE3-1FADC03B9570}" type="TxLink">
            <a:rPr lang="en-US" sz="2000" b="1" i="0" u="none" strike="noStrike">
              <a:solidFill>
                <a:schemeClr val="bg1">
                  <a:lumMod val="95000"/>
                </a:schemeClr>
              </a:solidFill>
              <a:effectLst/>
              <a:latin typeface="Calibri"/>
              <a:ea typeface="Calibri"/>
              <a:cs typeface="Calibri"/>
            </a:rPr>
            <a:pPr/>
            <a:t>500</a:t>
          </a:fld>
          <a:endParaRPr lang="en-IN" sz="2000" b="1">
            <a:solidFill>
              <a:schemeClr val="bg1">
                <a:lumMod val="95000"/>
              </a:schemeClr>
            </a:solidFill>
            <a:effectLst/>
          </a:endParaRPr>
        </a:p>
      </xdr:txBody>
    </xdr:sp>
    <xdr:clientData/>
  </xdr:twoCellAnchor>
  <xdr:twoCellAnchor>
    <xdr:from>
      <xdr:col>12</xdr:col>
      <xdr:colOff>38099</xdr:colOff>
      <xdr:row>2</xdr:row>
      <xdr:rowOff>19050</xdr:rowOff>
    </xdr:from>
    <xdr:to>
      <xdr:col>14</xdr:col>
      <xdr:colOff>438150</xdr:colOff>
      <xdr:row>3</xdr:row>
      <xdr:rowOff>152401</xdr:rowOff>
    </xdr:to>
    <xdr:sp macro="" textlink="">
      <xdr:nvSpPr>
        <xdr:cNvPr id="34" name="TextBox 33">
          <a:extLst>
            <a:ext uri="{FF2B5EF4-FFF2-40B4-BE49-F238E27FC236}">
              <a16:creationId xmlns:a16="http://schemas.microsoft.com/office/drawing/2014/main" id="{BAA87C9E-828E-9B84-E241-07F097127FEE}"/>
            </a:ext>
          </a:extLst>
        </xdr:cNvPr>
        <xdr:cNvSpPr txBox="1"/>
      </xdr:nvSpPr>
      <xdr:spPr>
        <a:xfrm>
          <a:off x="7353299" y="561975"/>
          <a:ext cx="1619251" cy="31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900" b="1">
              <a:solidFill>
                <a:schemeClr val="bg2">
                  <a:lumMod val="95000"/>
                </a:schemeClr>
              </a:solidFill>
            </a:rPr>
            <a:t>  Total Amount</a:t>
          </a:r>
        </a:p>
      </xdr:txBody>
    </xdr:sp>
    <xdr:clientData/>
  </xdr:twoCellAnchor>
  <xdr:twoCellAnchor>
    <xdr:from>
      <xdr:col>12</xdr:col>
      <xdr:colOff>266701</xdr:colOff>
      <xdr:row>4</xdr:row>
      <xdr:rowOff>9524</xdr:rowOff>
    </xdr:from>
    <xdr:to>
      <xdr:col>14</xdr:col>
      <xdr:colOff>342901</xdr:colOff>
      <xdr:row>5</xdr:row>
      <xdr:rowOff>85724</xdr:rowOff>
    </xdr:to>
    <xdr:sp macro="" textlink="Sheet15!A4">
      <xdr:nvSpPr>
        <xdr:cNvPr id="35" name="TextBox 34">
          <a:extLst>
            <a:ext uri="{FF2B5EF4-FFF2-40B4-BE49-F238E27FC236}">
              <a16:creationId xmlns:a16="http://schemas.microsoft.com/office/drawing/2014/main" id="{04B5CE07-67E3-2355-AF2E-916F67DA5DFD}"/>
            </a:ext>
          </a:extLst>
        </xdr:cNvPr>
        <xdr:cNvSpPr txBox="1"/>
      </xdr:nvSpPr>
      <xdr:spPr>
        <a:xfrm>
          <a:off x="7581901" y="914399"/>
          <a:ext cx="12954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D302AAE-A8A8-4324-8B46-3BAE6E09B353}" type="TxLink">
            <a:rPr lang="en-US" sz="1600" b="1" i="0" u="none" strike="noStrike">
              <a:solidFill>
                <a:schemeClr val="bg2">
                  <a:lumMod val="95000"/>
                </a:schemeClr>
              </a:solidFill>
              <a:latin typeface="Calibri"/>
              <a:ea typeface="Calibri"/>
              <a:cs typeface="Calibri"/>
            </a:rPr>
            <a:pPr/>
            <a:t>93933780.49</a:t>
          </a:fld>
          <a:endParaRPr lang="en-IN" sz="1600" b="1">
            <a:solidFill>
              <a:schemeClr val="bg2">
                <a:lumMod val="95000"/>
              </a:schemeClr>
            </a:solidFill>
          </a:endParaRPr>
        </a:p>
      </xdr:txBody>
    </xdr:sp>
    <xdr:clientData/>
  </xdr:twoCellAnchor>
  <xdr:twoCellAnchor>
    <xdr:from>
      <xdr:col>17</xdr:col>
      <xdr:colOff>266700</xdr:colOff>
      <xdr:row>2</xdr:row>
      <xdr:rowOff>9525</xdr:rowOff>
    </xdr:from>
    <xdr:to>
      <xdr:col>20</xdr:col>
      <xdr:colOff>152400</xdr:colOff>
      <xdr:row>3</xdr:row>
      <xdr:rowOff>114300</xdr:rowOff>
    </xdr:to>
    <xdr:sp macro="" textlink="">
      <xdr:nvSpPr>
        <xdr:cNvPr id="36" name="TextBox 35">
          <a:extLst>
            <a:ext uri="{FF2B5EF4-FFF2-40B4-BE49-F238E27FC236}">
              <a16:creationId xmlns:a16="http://schemas.microsoft.com/office/drawing/2014/main" id="{9ED44F98-7E99-795E-E01A-87314FED9ACD}"/>
            </a:ext>
          </a:extLst>
        </xdr:cNvPr>
        <xdr:cNvSpPr txBox="1"/>
      </xdr:nvSpPr>
      <xdr:spPr>
        <a:xfrm>
          <a:off x="10629900" y="552450"/>
          <a:ext cx="17145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800" b="1">
              <a:solidFill>
                <a:schemeClr val="bg2">
                  <a:lumMod val="95000"/>
                </a:schemeClr>
              </a:solidFill>
            </a:rPr>
            <a:t>Fraud Transaction</a:t>
          </a:r>
        </a:p>
      </xdr:txBody>
    </xdr:sp>
    <xdr:clientData/>
  </xdr:twoCellAnchor>
  <xdr:twoCellAnchor>
    <xdr:from>
      <xdr:col>18</xdr:col>
      <xdr:colOff>304800</xdr:colOff>
      <xdr:row>3</xdr:row>
      <xdr:rowOff>85725</xdr:rowOff>
    </xdr:from>
    <xdr:to>
      <xdr:col>19</xdr:col>
      <xdr:colOff>114300</xdr:colOff>
      <xdr:row>5</xdr:row>
      <xdr:rowOff>47625</xdr:rowOff>
    </xdr:to>
    <xdr:sp macro="" textlink="Sheet16!A4">
      <xdr:nvSpPr>
        <xdr:cNvPr id="37" name="TextBox 36">
          <a:extLst>
            <a:ext uri="{FF2B5EF4-FFF2-40B4-BE49-F238E27FC236}">
              <a16:creationId xmlns:a16="http://schemas.microsoft.com/office/drawing/2014/main" id="{487F4120-6411-E187-88FC-87E24909141C}"/>
            </a:ext>
          </a:extLst>
        </xdr:cNvPr>
        <xdr:cNvSpPr txBox="1"/>
      </xdr:nvSpPr>
      <xdr:spPr>
        <a:xfrm>
          <a:off x="11277600" y="809625"/>
          <a:ext cx="4191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7AD7E871-C461-415A-8320-6E97BC93BD1E}" type="TxLink">
            <a:rPr lang="en-US" sz="2400" b="1" i="0" u="none" strike="noStrike">
              <a:solidFill>
                <a:schemeClr val="bg2">
                  <a:lumMod val="95000"/>
                </a:schemeClr>
              </a:solidFill>
              <a:latin typeface="Calibri"/>
              <a:ea typeface="Calibri"/>
              <a:cs typeface="Calibri"/>
            </a:rPr>
            <a:pPr/>
            <a:t>13</a:t>
          </a:fld>
          <a:endParaRPr lang="en-IN" sz="1600" b="1">
            <a:solidFill>
              <a:schemeClr val="bg2">
                <a:lumMod val="95000"/>
              </a:schemeClr>
            </a:solidFill>
          </a:endParaRPr>
        </a:p>
      </xdr:txBody>
    </xdr:sp>
    <xdr:clientData/>
  </xdr:twoCellAnchor>
  <xdr:twoCellAnchor>
    <xdr:from>
      <xdr:col>23</xdr:col>
      <xdr:colOff>247650</xdr:colOff>
      <xdr:row>1</xdr:row>
      <xdr:rowOff>161925</xdr:rowOff>
    </xdr:from>
    <xdr:to>
      <xdr:col>26</xdr:col>
      <xdr:colOff>228600</xdr:colOff>
      <xdr:row>3</xdr:row>
      <xdr:rowOff>123825</xdr:rowOff>
    </xdr:to>
    <xdr:sp macro="" textlink="">
      <xdr:nvSpPr>
        <xdr:cNvPr id="38" name="TextBox 37">
          <a:extLst>
            <a:ext uri="{FF2B5EF4-FFF2-40B4-BE49-F238E27FC236}">
              <a16:creationId xmlns:a16="http://schemas.microsoft.com/office/drawing/2014/main" id="{71237AF7-8C53-EA5C-3B59-FDA020F44EBC}"/>
            </a:ext>
          </a:extLst>
        </xdr:cNvPr>
        <xdr:cNvSpPr txBox="1"/>
      </xdr:nvSpPr>
      <xdr:spPr>
        <a:xfrm>
          <a:off x="14268450" y="523875"/>
          <a:ext cx="18097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800" b="1">
              <a:solidFill>
                <a:schemeClr val="bg2">
                  <a:lumMod val="95000"/>
                </a:schemeClr>
              </a:solidFill>
            </a:rPr>
            <a:t>Failed + Reversed</a:t>
          </a:r>
        </a:p>
      </xdr:txBody>
    </xdr:sp>
    <xdr:clientData/>
  </xdr:twoCellAnchor>
  <xdr:twoCellAnchor>
    <xdr:from>
      <xdr:col>24</xdr:col>
      <xdr:colOff>314325</xdr:colOff>
      <xdr:row>3</xdr:row>
      <xdr:rowOff>76200</xdr:rowOff>
    </xdr:from>
    <xdr:to>
      <xdr:col>25</xdr:col>
      <xdr:colOff>114300</xdr:colOff>
      <xdr:row>5</xdr:row>
      <xdr:rowOff>38100</xdr:rowOff>
    </xdr:to>
    <xdr:sp macro="" textlink="Sheet17!A4">
      <xdr:nvSpPr>
        <xdr:cNvPr id="39" name="TextBox 38">
          <a:extLst>
            <a:ext uri="{FF2B5EF4-FFF2-40B4-BE49-F238E27FC236}">
              <a16:creationId xmlns:a16="http://schemas.microsoft.com/office/drawing/2014/main" id="{4F1829CC-BC62-A783-1E20-F75E5C97B504}"/>
            </a:ext>
          </a:extLst>
        </xdr:cNvPr>
        <xdr:cNvSpPr txBox="1"/>
      </xdr:nvSpPr>
      <xdr:spPr>
        <a:xfrm>
          <a:off x="14944725" y="800100"/>
          <a:ext cx="4095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F97E975B-F0E2-4F4F-87BA-CB619CBA0A36}" type="TxLink">
            <a:rPr lang="en-US" sz="2000" b="1" i="0" u="none" strike="noStrike">
              <a:solidFill>
                <a:schemeClr val="bg2">
                  <a:lumMod val="95000"/>
                </a:schemeClr>
              </a:solidFill>
              <a:latin typeface="Calibri"/>
              <a:ea typeface="Calibri"/>
              <a:cs typeface="Calibri"/>
            </a:rPr>
            <a:pPr/>
            <a:t>47</a:t>
          </a:fld>
          <a:endParaRPr lang="en-IN" sz="2000" b="1">
            <a:solidFill>
              <a:schemeClr val="bg2">
                <a:lumMod val="95000"/>
              </a:schemeClr>
            </a:solidFill>
          </a:endParaRPr>
        </a:p>
      </xdr:txBody>
    </xdr:sp>
    <xdr:clientData/>
  </xdr:twoCellAnchor>
  <xdr:twoCellAnchor editAs="oneCell">
    <xdr:from>
      <xdr:col>0</xdr:col>
      <xdr:colOff>38100</xdr:colOff>
      <xdr:row>21</xdr:row>
      <xdr:rowOff>133350</xdr:rowOff>
    </xdr:from>
    <xdr:to>
      <xdr:col>2</xdr:col>
      <xdr:colOff>533400</xdr:colOff>
      <xdr:row>33</xdr:row>
      <xdr:rowOff>76199</xdr:rowOff>
    </xdr:to>
    <mc:AlternateContent xmlns:mc="http://schemas.openxmlformats.org/markup-compatibility/2006" xmlns:a14="http://schemas.microsoft.com/office/drawing/2010/main">
      <mc:Choice Requires="a14">
        <xdr:graphicFrame macro="">
          <xdr:nvGraphicFramePr>
            <xdr:cNvPr id="42" name="month">
              <a:extLst>
                <a:ext uri="{FF2B5EF4-FFF2-40B4-BE49-F238E27FC236}">
                  <a16:creationId xmlns:a16="http://schemas.microsoft.com/office/drawing/2014/main" id="{1CB99130-988D-FB30-4574-5976488B81A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8100" y="4114800"/>
              <a:ext cx="1714500" cy="2114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220980</xdr:colOff>
      <xdr:row>6</xdr:row>
      <xdr:rowOff>45720</xdr:rowOff>
    </xdr:from>
    <xdr:to>
      <xdr:col>10</xdr:col>
      <xdr:colOff>525780</xdr:colOff>
      <xdr:row>21</xdr:row>
      <xdr:rowOff>45720</xdr:rowOff>
    </xdr:to>
    <xdr:graphicFrame macro="">
      <xdr:nvGraphicFramePr>
        <xdr:cNvPr id="2" name="Chart 1">
          <a:extLst>
            <a:ext uri="{FF2B5EF4-FFF2-40B4-BE49-F238E27FC236}">
              <a16:creationId xmlns:a16="http://schemas.microsoft.com/office/drawing/2014/main" id="{F43528AA-73B3-6E07-8009-9D18D7B8C3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434340</xdr:colOff>
      <xdr:row>9</xdr:row>
      <xdr:rowOff>45720</xdr:rowOff>
    </xdr:from>
    <xdr:to>
      <xdr:col>10</xdr:col>
      <xdr:colOff>129540</xdr:colOff>
      <xdr:row>24</xdr:row>
      <xdr:rowOff>45720</xdr:rowOff>
    </xdr:to>
    <xdr:graphicFrame macro="">
      <xdr:nvGraphicFramePr>
        <xdr:cNvPr id="3" name="Chart 2">
          <a:extLst>
            <a:ext uri="{FF2B5EF4-FFF2-40B4-BE49-F238E27FC236}">
              <a16:creationId xmlns:a16="http://schemas.microsoft.com/office/drawing/2014/main" id="{294D0F52-92F3-27EB-61C2-97F351161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152400</xdr:colOff>
      <xdr:row>6</xdr:row>
      <xdr:rowOff>45720</xdr:rowOff>
    </xdr:from>
    <xdr:to>
      <xdr:col>10</xdr:col>
      <xdr:colOff>457200</xdr:colOff>
      <xdr:row>21</xdr:row>
      <xdr:rowOff>45720</xdr:rowOff>
    </xdr:to>
    <xdr:graphicFrame macro="">
      <xdr:nvGraphicFramePr>
        <xdr:cNvPr id="2" name="Chart 1">
          <a:extLst>
            <a:ext uri="{FF2B5EF4-FFF2-40B4-BE49-F238E27FC236}">
              <a16:creationId xmlns:a16="http://schemas.microsoft.com/office/drawing/2014/main" id="{C1B020C5-2C81-A626-F0B6-DF8BCA143B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365760</xdr:colOff>
      <xdr:row>9</xdr:row>
      <xdr:rowOff>45720</xdr:rowOff>
    </xdr:from>
    <xdr:to>
      <xdr:col>10</xdr:col>
      <xdr:colOff>541020</xdr:colOff>
      <xdr:row>24</xdr:row>
      <xdr:rowOff>45720</xdr:rowOff>
    </xdr:to>
    <xdr:graphicFrame macro="">
      <xdr:nvGraphicFramePr>
        <xdr:cNvPr id="2" name="Chart 1">
          <a:extLst>
            <a:ext uri="{FF2B5EF4-FFF2-40B4-BE49-F238E27FC236}">
              <a16:creationId xmlns:a16="http://schemas.microsoft.com/office/drawing/2014/main" id="{9238C239-BA39-8159-0477-5B30F155C0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220980</xdr:colOff>
      <xdr:row>6</xdr:row>
      <xdr:rowOff>45720</xdr:rowOff>
    </xdr:from>
    <xdr:to>
      <xdr:col>10</xdr:col>
      <xdr:colOff>525780</xdr:colOff>
      <xdr:row>21</xdr:row>
      <xdr:rowOff>45720</xdr:rowOff>
    </xdr:to>
    <xdr:graphicFrame macro="">
      <xdr:nvGraphicFramePr>
        <xdr:cNvPr id="4" name="Chart 3">
          <a:extLst>
            <a:ext uri="{FF2B5EF4-FFF2-40B4-BE49-F238E27FC236}">
              <a16:creationId xmlns:a16="http://schemas.microsoft.com/office/drawing/2014/main" id="{AACC21F6-4B68-2A95-D0F3-0635376CEB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220980</xdr:colOff>
      <xdr:row>6</xdr:row>
      <xdr:rowOff>45720</xdr:rowOff>
    </xdr:from>
    <xdr:to>
      <xdr:col>10</xdr:col>
      <xdr:colOff>525780</xdr:colOff>
      <xdr:row>21</xdr:row>
      <xdr:rowOff>45720</xdr:rowOff>
    </xdr:to>
    <xdr:graphicFrame macro="">
      <xdr:nvGraphicFramePr>
        <xdr:cNvPr id="2" name="Chart 1">
          <a:extLst>
            <a:ext uri="{FF2B5EF4-FFF2-40B4-BE49-F238E27FC236}">
              <a16:creationId xmlns:a16="http://schemas.microsoft.com/office/drawing/2014/main" id="{5A4399BA-69E6-23CF-A999-20C9787FB6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nanesh" refreshedDate="46299.00880729167" createdVersion="8" refreshedVersion="8" minRefreshableVersion="3" recordCount="500" xr:uid="{71E35701-AF4C-4C4B-B67E-A01BAD18B51A}">
  <cacheSource type="worksheet">
    <worksheetSource name="Table1"/>
  </cacheSource>
  <cacheFields count="16">
    <cacheField name="Transaction ID" numFmtId="0">
      <sharedItems count="500">
        <s v="c906d56a-71d8-4309-80aa-8a668e6dd338"/>
        <s v="bdbca5a9-5d6f-4b32-8e2d-c1ec810a57b1"/>
        <s v="1da2b6df-97ce-4e21-8661-e764b63e2541"/>
        <s v="30ec4db1-c1da-4e6d-a17b-8ac3ed248b37"/>
        <s v="7e2c42ab-e97b-4765-84cc-7615869642b7"/>
        <s v="f6c20666-e23c-41bb-a870-4d16c7379d68"/>
        <s v="6c238a7e-487a-419c-895f-95878bc1a52c"/>
        <s v="bc35e5f4-7c5e-4606-aa23-6d21f8fdc00e"/>
        <s v="e6d3886e-aca3-43c0-bf91-e8d20f87eca1"/>
        <s v="e3a56d54-c6b9-40fb-affd-049c92df79ce"/>
        <s v="f6d81624-e6e6-42d1-8653-88f03bbfb88b"/>
        <s v="ab65a169-4325-491e-9d38-48ef43acc5e5"/>
        <s v="d6f2d03e-286c-462e-8fbd-42ae564d7f34"/>
        <s v="92093123-ee44-409d-aada-080e179fa528"/>
        <s v="4f3c9aea-24f2-4065-98c8-531921030986"/>
        <s v="3605051e-c720-4642-8fa2-6812b5f8ad82"/>
        <s v="fa5483e6-631d-4a81-ad7e-80ae050dc1a1"/>
        <s v="31846b44-390e-4af1-a70c-c978ab1efad5"/>
        <s v="54d3834e-67ff-43b6-8cf2-456017b143bb"/>
        <s v="52c824b7-1470-46e4-b351-74a77fa1c374"/>
        <s v="aa664390-1628-4b67-8902-862a5929cce2"/>
        <s v="3a37175b-933c-43b8-a644-5acf3afbf2e8"/>
        <s v="8c0f7bfc-276c-4883-a5e5-cd788f768448"/>
        <s v="b52faf7c-e341-43b0-8e93-1e949bb276fa"/>
        <s v="4d3c0228-c910-4304-998c-c69bad60908e"/>
        <s v="e3e408df-8ab2-4af6-8e12-f09158f4b325"/>
        <s v="923dc3a9-fb94-4e38-994e-24d9474dce07"/>
        <s v="1b018e9f-c1d9-4335-9aea-1750e89f2193"/>
        <s v="078ed5ed-d1ed-4dc3-9410-a3fed11a38b4"/>
        <s v="5f985d0a-9738-4a30-a647-678e37de19de"/>
        <s v="d3b4166e-2e13-4dd4-9b20-abdcdd79aa5d"/>
        <s v="a449609b-f5b8-4e98-a9e4-452f564bf33c"/>
        <s v="ff59f00c-2f39-4fe2-bab6-ba18ce7b1bb0"/>
        <s v="267b619a-961c-43b1-ade5-663db4cc27b2"/>
        <s v="c2f4e70f-7fae-4f16-a939-f3a4c40a5cb2"/>
        <s v="85c907e5-eae9-4ae5-8682-7335efa57459"/>
        <s v="70e4f242-5557-4d3b-8471-dd202db5a3b7"/>
        <s v="3c82845a-e21e-41a0-979c-169d33c2fc80"/>
        <s v="71777708-738b-4a22-8924-677a5afe3d58"/>
        <s v="62518911-3e4e-49c6-9512-1bfc06323e10"/>
        <s v="5f6aa3d0-def8-4718-bd70-8b4b1aa7eed5"/>
        <s v="cff302b1-3087-4ca9-bbb2-ae97e574f2cd"/>
        <s v="ba36b15c-06cd-4d6e-9643-b0cfe62776ea"/>
        <s v="fd2a9cf1-c260-474a-bb91-1081a4ad46bd"/>
        <s v="23cf92b2-3035-46ac-af8d-fc4e14970d8b"/>
        <s v="6b8da0f4-ea1d-41c6-9a2c-43b02a799d36"/>
        <s v="91b14ab8-1c7a-449b-9db4-478f54442982"/>
        <s v="543768cb-d86a-4628-81cc-f2b1022ca354"/>
        <s v="9cd31713-6d99-4024-a213-95792bc7f88d"/>
        <s v="346ce9f0-89d8-48f1-acd1-ed4e8636f0ce"/>
        <s v="e01dce9a-2b7b-4d91-bd8b-8b37c23211fd"/>
        <s v="c6b86e5e-fd8f-43fc-b48e-afc11df5a541"/>
        <s v="bc60740d-e858-4f94-9566-1eef6497bdb8"/>
        <s v="cb593236-b3a6-4ed6-af6f-590bd4786b1d"/>
        <s v="4d1b7980-a305-408d-b097-e6e8096ebd45"/>
        <s v="03aa27dd-e059-4e85-8505-b961b5a45294"/>
        <s v="391bab10-2f7c-4a05-8810-20c41309d4f9"/>
        <s v="18bf3d1a-0cfd-4dd0-b243-96699d7c0148"/>
        <s v="71078ce7-dec7-4fa4-8933-4eca9aedb7f9"/>
        <s v="97a68b99-8cbc-4b28-bb0b-d4ed2c428ddc"/>
        <s v="663e9152-5f5c-4a5b-b9ef-5393b4b73a12"/>
        <s v="de2147f0-bc82-43b9-9e86-69c024ad0663"/>
        <s v="fdf4b68c-5590-4498-946b-8efbdc0a31bc"/>
        <s v="616fcc8c-56bc-4197-91cb-4b07d92c0fb1"/>
        <s v="00fd40bf-bf9d-4bff-993f-60f5eee6bb03"/>
        <s v="e6d0967c-f9d5-4e46-9f87-d564b671d413"/>
        <s v="b34a6f74-ae8f-47ad-924f-86556889d99d"/>
        <s v="2673fe87-e626-4a87-8ad7-3a10fa06f4c3"/>
        <s v="b2ade9ec-6a44-455e-9378-1cb83e5dd5a2"/>
        <s v="5f00cf03-ed87-484c-ba6c-eaa36f50bb7b"/>
        <s v="ccbaaeb4-e933-4e31-a0fa-d19de42b0aa6"/>
        <s v="b572bae1-9ed6-4f39-8bbc-059bafa3e368"/>
        <s v="eb06c345-27b2-43fe-8b57-74abfe097181"/>
        <s v="51989afa-bed1-4325-a13d-95fbac40d879"/>
        <s v="6b9795cc-f800-41e7-9c05-f0ac55d1061a"/>
        <s v="ddc5a8ef-f22d-4453-84cd-2c189b907453"/>
        <s v="1e819aad-5b5f-4e14-89a1-cfe9654b06b2"/>
        <s v="9b35ff7f-9cff-4443-b980-d80117014e88"/>
        <s v="e9365338-4cc1-4aed-b986-b49160163f0c"/>
        <s v="cbfa73b5-c97d-44c6-93c0-1aec270e805e"/>
        <s v="dc13cf47-0a1a-4aec-b1f4-81d7f5dc3816"/>
        <s v="80b3645d-74e2-4b56-9238-b906b291f579"/>
        <s v="488e03e5-d1b1-4069-958d-35616f0b201c"/>
        <s v="893027bb-1105-4eb6-83fb-211687351dc0"/>
        <s v="7c0b8276-4c0c-4323-a876-980051a56c15"/>
        <s v="3576e0a5-4bd8-4887-921b-e05ad460de03"/>
        <s v="2983f870-78b7-44b1-b120-75bb4d3e2411"/>
        <s v="609c294f-9192-4233-a3dd-df5fa7a26ec0"/>
        <s v="fb83ae2e-5fcb-4fbd-a252-2989f8f6d036"/>
        <s v="2044b866-4e8f-4e20-8b6f-dc20136edf14"/>
        <s v="ded29be0-13ca-445c-9df7-ed1134aa78c0"/>
        <s v="00f36763-b751-4839-a3c3-06e6ff283c20"/>
        <s v="64f9d004-e4bc-450d-85f7-65141003bd81"/>
        <s v="e0dab459-92a9-4cfa-a863-c17c4c2e79d2"/>
        <s v="1eecddea-2c95-41ee-8459-c0c59f8daf8e"/>
        <s v="5c1c9ae5-b0a4-42e3-8660-e1fdb1a7d6ae"/>
        <s v="de78ca4d-2ed2-44cd-a28f-a94e8ffd1722"/>
        <s v="c029cdf7-f81a-4da7-a31e-668415613c29"/>
        <s v="908aad90-85d9-47c4-bd58-9f4ea733d8fe"/>
        <s v="21c1fdd0-3a23-4942-bfa7-af092c88e295"/>
        <s v="f0cb015d-3171-453b-87ba-5557fbec4e39"/>
        <s v="1be9cf2d-8c81-442b-8fd0-c6507395db90"/>
        <s v="18bc22b5-59e0-45cd-84ed-d27c46df4a0a"/>
        <s v="e1013214-d963-4673-b04d-89b8cf0abd4f"/>
        <s v="a88964d9-7341-43b3-806e-e0533e1b41bc"/>
        <s v="e450aa83-9876-4480-ae03-b2982067eac5"/>
        <s v="105c1746-11cb-46a6-aa58-8f90b2a6a346"/>
        <s v="7bb92b24-a7c0-4b38-ad91-ee31b5edce8e"/>
        <s v="f7fb5b22-544f-4ced-8121-9d190905075f"/>
        <s v="161e1c61-7aee-44af-97d6-641bcf2a8970"/>
        <s v="f9a0a188-3a48-4cef-b2d8-d4b75fddea00"/>
        <s v="52be5da1-8c4d-4670-a08d-6b8be4ae7497"/>
        <s v="0f8f54ca-9fb9-4785-8647-2468a004fa45"/>
        <s v="fd1d3fde-3620-4c8f-b53c-4465a0cba4f6"/>
        <s v="4d3fa55a-5762-4e29-ae84-5a66cfed93bd"/>
        <s v="d51f9b46-f368-4a09-ab13-0c6a18f47dd5"/>
        <s v="543c5d3a-323f-45ef-b855-f2c77adfbea8"/>
        <s v="7fbe0ba5-acbe-412f-a196-c7cc139ca37a"/>
        <s v="04245ce4-504e-4b0e-be15-fe6c63669b23"/>
        <s v="31772850-4dc3-45a6-999d-39e5d903c7d4"/>
        <s v="53280ea1-dd41-4ed1-a9fd-e99721499e1f"/>
        <s v="d88899f6-ddce-4d44-87ff-c5048e5241a4"/>
        <s v="e3ac2b66-dc49-453f-8c82-8d0bc9c5549a"/>
        <s v="0e104293-9725-463a-bc09-87fb54940434"/>
        <s v="ab932225-5685-4051-84fe-8db07734d341"/>
        <s v="66703732-f532-444b-8d11-2c9a9a2263b2"/>
        <s v="86dc1157-e9fd-4e98-b293-cadc88641d75"/>
        <s v="fef795f4-082a-4129-81ea-8b6ec2132853"/>
        <s v="80d701ba-98a7-4f51-8f3d-0737355f185e"/>
        <s v="6b7f0cf2-9089-45ed-badc-de6c072bcbc9"/>
        <s v="8fa3c024-3a65-4814-9736-7a75349817f4"/>
        <s v="fde8bf83-3f38-4327-b632-ce0b7418dd05"/>
        <s v="dc920ff0-4476-4233-8a68-d1b76806e11c"/>
        <s v="02403cc4-f717-4702-a502-8ca1f809e7ed"/>
        <s v="ce1ee09b-53e7-433b-8565-78b87cc2a845"/>
        <s v="229a2356-98c0-4c9e-a853-4c8b1bb64a48"/>
        <s v="e3df7035-07a3-4750-937f-b203c023b0c9"/>
        <s v="2c09fcbb-ad28-476d-8970-1ce53adf5133"/>
        <s v="866fc4df-4f97-4dea-9576-0a0c5b3c3219"/>
        <s v="749658d6-ad8b-4977-9798-875258c7e917"/>
        <s v="1fd55cf2-fd94-4d94-9af8-3edfb4331750"/>
        <s v="dc665109-864f-479e-817b-1b24c049abe3"/>
        <s v="f0d6a2c6-b47b-4c4f-8704-ca522dc40164"/>
        <s v="a75c3412-f4c8-4590-978c-4a96dd26a8ab"/>
        <s v="4777f9b4-58d1-475a-90b0-145a70b15ac0"/>
        <s v="82bd9c31-9b2b-45a9-9919-fe6ba777f73f"/>
        <s v="04846856-a1c8-410e-a7e5-2906406e8941"/>
        <s v="07c96aad-61bf-4626-a9ae-0a34209494c7"/>
        <s v="d0d15529-e4f3-43a9-b304-54053e16aa01"/>
        <s v="24baa7b0-5391-46ab-94ca-b5583a41af18"/>
        <s v="d983e39e-6827-42f2-b347-d58adf3a80ac"/>
        <s v="d81a0385-2d54-4be8-9e57-1f87684e76bd"/>
        <s v="8ef8c848-20b8-4493-985c-24f2b925610c"/>
        <s v="9a2984ac-e042-447f-ac04-e78645b18881"/>
        <s v="83402b0a-4b08-4921-b79b-14d50a0be9c2"/>
        <s v="3758eba4-6ac8-417a-8063-60066c461d50"/>
        <s v="274f4733-1b44-40a1-91f5-090c42cd313a"/>
        <s v="3bf12f44-d2b7-4a9f-ba2e-a394943bd67d"/>
        <s v="e20739e0-7851-438b-9d11-83e648c78598"/>
        <s v="bab859d6-2e31-4ecb-b3c0-b1d06f0b6a59"/>
        <s v="d63db32e-5451-4226-846b-a0c0bce4885b"/>
        <s v="70c6689c-c901-4564-a001-fcc948b02ee9"/>
        <s v="a82d7285-ef5a-495a-8c64-6e5926405552"/>
        <s v="114778ff-a257-4de1-9b40-56e31cd83627"/>
        <s v="025fcb06-3964-4c6a-89f8-eac44e04116e"/>
        <s v="f2667ad3-06c6-4e44-aa86-3ae43c38838a"/>
        <s v="80a03d5e-643f-4808-b7b1-c4cae624906d"/>
        <s v="f6f2f9bf-f03f-433e-ab6e-d746131bf851"/>
        <s v="d7b4ca6f-776d-4e9a-bfb0-8eeb310841de"/>
        <s v="0979e55f-2627-4240-b1cb-1438376c5179"/>
        <s v="4b101ce1-b9b5-4a30-b259-9c116ce40cfe"/>
        <s v="ffeadd46-0ffa-4a8e-945f-7e44548c9dc9"/>
        <s v="9151f2c2-7655-411c-9fba-4133ff27b9eb"/>
        <s v="8d1c1aa5-6de3-487b-a94e-6b2e42444250"/>
        <s v="71695f06-5705-4689-bb51-16a89ccee2cc"/>
        <s v="ebec190b-6a64-4f0d-82d6-6ee71a4ab11d"/>
        <s v="b37a1d58-d951-4dd7-bee5-54879fc9a695"/>
        <s v="0072d9f5-5d55-4b21-bab4-7e9db5443b65"/>
        <s v="9f09da20-2fca-4436-9c05-7b04386594d9"/>
        <s v="ce934bd4-15e5-494d-aa5d-a43abd4f535e"/>
        <s v="34d56187-c08e-47ca-afda-4e8766de448f"/>
        <s v="d3df971f-ca42-4077-86c3-475c12965f7d"/>
        <s v="038466ef-252a-47ce-a87e-71662abc1637"/>
        <s v="7d8ada5d-130d-4918-b0b5-6d6ea8edabfa"/>
        <s v="cb0a5b22-ebde-4c29-a9d1-a7038192cfac"/>
        <s v="bbe5d2c6-4408-471b-aef7-9c81c034dd8a"/>
        <s v="0bc8b463-f65d-4856-9678-0e41337fa409"/>
        <s v="df7f7ea9-393c-4be3-a7da-184827e7c971"/>
        <s v="ca3944e0-0434-4e15-9853-3b4d8ff76c43"/>
        <s v="31c391b1-54ff-4b98-b7e1-d883dfb2e8f7"/>
        <s v="f8d360a4-92d3-482f-ac1e-db9b1e0c7ad6"/>
        <s v="8cdf7735-0f19-4d74-b907-b8634fcbef71"/>
        <s v="cd0005e8-48e0-443c-9e75-4d0a01235d95"/>
        <s v="18301c0d-a988-4a52-895c-c28e69e89c6f"/>
        <s v="b1a22d3e-dae5-4172-bb8e-234aa505726a"/>
        <s v="775fe6a2-57d3-43d2-ab9c-30ac3b2dfd90"/>
        <s v="a7d27da1-6997-450b-b9f2-2ec14730e4fb"/>
        <s v="6ff23ad4-3477-4f63-886d-92ae7a84daa9"/>
        <s v="b967b17a-9a8e-4699-9e68-66173240e765"/>
        <s v="ec72fa74-1baf-4b0f-8dd2-057e4caf2bb9"/>
        <s v="8d47240b-470c-4a5e-81e6-2881b806e112"/>
        <s v="de32ee5c-2963-4b68-9314-37c9510fee55"/>
        <s v="2e1b58e1-c7b1-4714-925e-0e2c4a339fd9"/>
        <s v="66a00d9e-7e1e-4b78-af0a-dd80b7ca6a98"/>
        <s v="64c9873a-351a-4b84-b3b6-d42643bb8437"/>
        <s v="1533567e-4d20-4132-b86f-0a37f949ebf9"/>
        <s v="fb2a2ce1-c11d-4710-81a4-1a8984b53b93"/>
        <s v="b9408151-3d66-4ea5-95fa-1f42eb764169"/>
        <s v="f4181a0c-7a83-49fd-8ddd-b24a02e1d276"/>
        <s v="877c8c90-7090-4c6b-a2d5-68a10b5e84e1"/>
        <s v="815e14eb-2098-46d6-bb0d-3339ed33578a"/>
        <s v="1128e494-1080-4a5e-828c-5aaf607929b5"/>
        <s v="aabb59f2-7170-4ec0-bfce-44f002b48f29"/>
        <s v="11d601f9-4b5f-488a-a640-674c9e151b0a"/>
        <s v="863d696a-f19f-4eb7-a47a-9e3f926b0fbf"/>
        <s v="7197feb1-0e7a-4187-93de-5e7697d34253"/>
        <s v="0d30f1d0-c566-4826-ad70-7f9f4d6e9881"/>
        <s v="d724fb28-9add-4067-9cff-97797130d7e3"/>
        <s v="9950064d-b87b-4f55-b0f9-02ee6066147c"/>
        <s v="ab0e7817-6bb8-4dd9-91c6-9f559f916637"/>
        <s v="82979aa8-fa0e-497d-b8cd-8b19d74190b3"/>
        <s v="7310682f-d84d-4c3c-a24d-29e40a60ee5a"/>
        <s v="ceef5660-bdb6-47d2-bfe7-407928ba0309"/>
        <s v="6c504093-65a3-4d67-bc20-0a7237e53eea"/>
        <s v="68324606-5422-43fe-a453-66e17793da37"/>
        <s v="ba67980f-f576-4933-b59a-36e560e42740"/>
        <s v="c4067a04-c825-416f-9eca-54f777499c5b"/>
        <s v="77323c98-1997-4c10-a66e-558050dc6213"/>
        <s v="285da30d-334e-46dd-a647-627a5d6d0c1f"/>
        <s v="85bd577f-a5ae-4860-b903-0a5576e75ce7"/>
        <s v="f70dbb59-c490-4182-903d-6c5793c03458"/>
        <s v="6296fb0b-0fea-451b-b564-784f265410a6"/>
        <s v="97c34e36-9e4a-49fb-8ba6-c4c6d79ea64d"/>
        <s v="301b73ed-a5ed-4932-9ff0-dd35b1a7457c"/>
        <s v="4b20ef1f-2692-43bf-ada8-d664d089f7fb"/>
        <s v="98bb8adc-733a-4d76-be0f-ab0411063ccc"/>
        <s v="894cfd1a-7b61-480c-ab28-bf77784a509e"/>
        <s v="04f69ce1-ead1-480f-b2c5-a99dc650d3b2"/>
        <s v="85346cb4-fe6c-4c0e-a87b-dfd18517969b"/>
        <s v="cd0b6f33-8ad2-4f2b-acbb-a762ea2ec9c0"/>
        <s v="4f59e7a5-8175-46dc-af06-b61cd22b3606"/>
        <s v="db684545-7495-414b-9919-1560cb2ea76c"/>
        <s v="dac8a6e8-0146-43e8-9a90-8e675f9fbaa8"/>
        <s v="964ede1d-1f81-4d58-86bd-4c328f060ca3"/>
        <s v="79320d21-8bc4-4e00-85e0-8ce4a4ab42b4"/>
        <s v="b9b81ddb-0c70-476f-be60-f67e451e0090"/>
        <s v="491fc7cd-9009-41e2-9f2c-c5aaff219d75"/>
        <s v="03fc22d3-0e5a-4c71-aacc-4b5588d20b7b"/>
        <s v="3e7a498c-9e3a-4b87-8680-5a5436021263"/>
        <s v="107bd4a3-9d8e-43ee-a0df-31b57b65eed2"/>
        <s v="28fa62df-63a8-4908-b601-bffd24303acf"/>
        <s v="edbfa1b1-f134-4e41-81c4-7740805dacd9"/>
        <s v="8cd074cb-60ce-4449-ba5d-7751a3b9d2b3"/>
        <s v="94558069-8581-4de5-8fcc-00e3e541e452"/>
        <s v="1b09dede-e649-402c-bde0-5bd7576d4ac5"/>
        <s v="97cc1ed6-4e33-46b4-9967-65b70079d233"/>
        <s v="ee9a24cd-a4e7-4264-9a1f-b39a49aafdd2"/>
        <s v="c40c55e5-d888-4870-a6e1-bd7b2dc577b4"/>
        <s v="fed18fd2-9154-45b9-976b-730767ebcd27"/>
        <s v="e8058d57-cc77-4809-8470-462eeb4c4014"/>
        <s v="f108d82f-7113-4b81-8232-01951f8e8d35"/>
        <s v="85f4e337-427e-4971-b55c-109b7de85a86"/>
        <s v="7d8c86d0-e566-4bff-a2ef-53a5eb2a8187"/>
        <s v="614c74f4-661b-409a-afd5-caf0c779a143"/>
        <s v="ce03b15d-cb11-430c-bbf4-84d3aa6a6355"/>
        <s v="42738895-c3c1-4b52-bb44-636b1d719097"/>
        <s v="c2132f8e-95c3-433d-9774-3ea3e32ccba4"/>
        <s v="8390a471-955f-4080-8301-aa1483fbccad"/>
        <s v="e1eb0ffd-9302-4b1b-8d09-498169aa46be"/>
        <s v="eb328eff-d2bd-42e2-bb7f-7b59c49e04dc"/>
        <s v="4dcc110d-2caf-4b29-8e4a-0537e0115862"/>
        <s v="78ae1381-a4de-44e2-bbfb-a0e0e753d570"/>
        <s v="5849f022-9ec3-413b-b772-7049df075710"/>
        <s v="eb1a8602-868d-4bd2-996a-8f4d8fbd9943"/>
        <s v="a1378b36-bfc8-4385-bfa3-012164ee41f1"/>
        <s v="f207c059-bf5c-4ce6-8b4b-ab7503bd003b"/>
        <s v="a415a509-2303-444d-9939-15847e20e63d"/>
        <s v="6aac1c96-7047-4d11-b27d-44944f72e6a8"/>
        <s v="af063ceb-893a-4311-86f3-091a59c7647f"/>
        <s v="a905b04c-04aa-4fad-9365-6c56d92f356e"/>
        <s v="ab07f7cf-1b90-4c14-9cbd-f87d2401eb10"/>
        <s v="f17acc22-46dd-4a03-a09e-66797fc864f2"/>
        <s v="a59c225b-8bc7-49c5-819b-5f2cd76d52a6"/>
        <s v="0ea3bd1b-a9f6-4ccd-a8e1-90b6a0cbabf8"/>
        <s v="7ac9c83a-885d-4904-8023-0c6ff75cfc85"/>
        <s v="c6a6588e-3486-401f-8261-2cfedcf17d9b"/>
        <s v="3a02fb56-d851-4da2-a7a2-e7bf539b47c1"/>
        <s v="79dd9b16-3d1e-4196-98e8-42740ba73378"/>
        <s v="319c565a-17ab-4abe-ae39-658ff82398e6"/>
        <s v="8726924e-e736-4152-a600-93f25a82297a"/>
        <s v="45628100-f3f1-4308-a159-4cf27ef61300"/>
        <s v="b8269c51-66e6-41bd-981c-bd21dc71dc12"/>
        <s v="910546a5-cc88-4186-8343-ce556acd4197"/>
        <s v="51161d93-6376-4992-8862-8a8f73274de8"/>
        <s v="97268ff9-634c-4609-9b5a-ce1b575d09bf"/>
        <s v="c9d0af20-d50b-46a5-b8b1-9f5a32fa9092"/>
        <s v="a99bd63e-5258-48d7-9ac8-0c5f02481d68"/>
        <s v="0f6a1ea5-9afb-4345-b77d-e7591335d270"/>
        <s v="26ca49c6-d6d4-43b5-99b0-93d06755c7fa"/>
        <s v="2c90d6f2-00fb-4e2f-b3ff-5eafcd96f7e9"/>
        <s v="1a0b103c-7fbf-4d11-8779-c4ed13986aa4"/>
        <s v="a3f93225-85c6-4a01-b210-ef59d3c352fc"/>
        <s v="1d92b0c3-2ddc-4ae9-8dd8-8650c3a6239d"/>
        <s v="5217e86d-17f3-4b6d-b430-f4d08a939a4f"/>
        <s v="28f163ec-8016-46b3-bbdb-fd5093ce0ee5"/>
        <s v="69df0caf-ba2a-4b78-8d72-b6a117af3bd9"/>
        <s v="20712dae-f3a4-40e9-a123-c5ee6b9c4ac0"/>
        <s v="780dd334-a9fb-4398-9a4e-690436194f52"/>
        <s v="6247563c-a13f-4f8e-b730-72c07aff5309"/>
        <s v="4d1cf2c4-ed9a-4802-9646-e8050cf3b564"/>
        <s v="503bb24c-12e6-4a4a-b630-45254f982fac"/>
        <s v="7b2b0a33-f86e-48d5-b26f-badeb1272990"/>
        <s v="8d316704-a9d8-4707-aeb6-57eae4ef9bea"/>
        <s v="f9aee4b5-e22d-4fdc-b409-a10666068039"/>
        <s v="827bc546-1bd0-4e69-9d28-a02c8d851be8"/>
        <s v="36c7f2ab-9aea-4a1e-a1d3-7088ea4dd258"/>
        <s v="b565a4f8-0c8a-496e-8ea7-7f46d05e65d0"/>
        <s v="eeadc24e-4a5b-4d24-8202-a8a9a53cb2fb"/>
        <s v="71d75907-80c9-41f5-b842-003289bebe2e"/>
        <s v="41158a38-4f6f-4e62-8c37-7c7dcc2098ae"/>
        <s v="53c5db3a-442b-4188-bd5b-6030ee5a95ce"/>
        <s v="d04c0b0a-5b7e-448b-a152-29d410b94690"/>
        <s v="1ed4f179-4e70-4632-a1d7-13b013cae6b1"/>
        <s v="412dc2b3-0f2d-4d77-aa74-fcc63a02fc36"/>
        <s v="593947ec-7bdb-40f1-b950-3389b6552447"/>
        <s v="7ca06469-566e-46a0-a598-1e0ef3d4a0aa"/>
        <s v="bd06b020-2645-4ba7-b80d-47cc5dbe036a"/>
        <s v="ddb55507-6ba0-4431-9e64-d57118df6bd9"/>
        <s v="2b87a63e-fbe7-476c-8276-bd0a8c64d5e7"/>
        <s v="6cd4641a-f32d-45db-8c1e-e4b90449a466"/>
        <s v="276bd213-49b5-4e12-8bdf-bd342c08e899"/>
        <s v="9b510770-74b4-4885-83e8-bd821ab5c3a8"/>
        <s v="f94c66f0-af7b-4f7e-b93e-e9774378ec62"/>
        <s v="c20d3c5d-cfc9-4d09-baac-a0943e64869e"/>
        <s v="bd8153b3-3d34-4e8f-9f6c-c4a5983f86b3"/>
        <s v="b00a0588-9356-4146-b0d4-3d5617095547"/>
        <s v="7c383cbd-c9c4-4d7e-aec7-4807133a3e27"/>
        <s v="5a8f4c85-e619-4345-8349-71c834b95d95"/>
        <s v="fb791d9f-1a8f-4384-a493-f4ef64fb1a21"/>
        <s v="689659c1-3a5e-4746-b126-ac07f00ae348"/>
        <s v="15e3d308-d5ba-4b15-a68f-f9d8cae7cc73"/>
        <s v="84f22dec-64f7-4cda-ade6-b84c9568bf4f"/>
        <s v="6339dcb1-7a32-4533-a6cd-fa735888be18"/>
        <s v="009adf0e-3dc7-49ce-b577-e47d4fbe00ef"/>
        <s v="2e9baff1-8514-4428-ac60-c36c39659c21"/>
        <s v="0d221bd7-083d-451b-9e03-29d4ffa471c1"/>
        <s v="31dd6dfc-8f46-4685-acf9-68d8da1d192a"/>
        <s v="9191a41e-7bd2-439a-99d9-2512d4f6a1af"/>
        <s v="bafd4013-37e5-42b5-8a28-051ed837e6ae"/>
        <s v="2d70f9ea-3f64-4e90-a17b-60131f8e5dd9"/>
        <s v="45e015e9-529a-4dbc-aa22-bd884f862cfb"/>
        <s v="a9cab964-9c21-4222-a97b-b819189760c8"/>
        <s v="cd8b163a-76af-4fd5-b4db-7ee8c10f2740"/>
        <s v="22ef1a08-9c7d-4e83-8285-1ed7d239427d"/>
        <s v="fd826b0b-4f6b-4196-84fb-35e01ade296e"/>
        <s v="b842ae50-92ae-4023-bfd9-e63d7e2929f5"/>
        <s v="c5b0d5c9-86df-49f6-bc07-f803d251b237"/>
        <s v="fa69c03c-9edd-4473-8121-27f573f16d78"/>
        <s v="67de4bfc-4c7f-499e-9a31-4e8237466412"/>
        <s v="df53fecd-e53d-4605-98a4-4d72ac476231"/>
        <s v="b3834752-78e5-4a8d-80a4-5004976b843d"/>
        <s v="4479e679-a33e-4d38-9d8c-ee4bef857888"/>
        <s v="82d27e6c-ca21-4345-ad95-1c2d1d8cc2b8"/>
        <s v="6b11103c-2794-42e9-a431-b9d2a5bc2f58"/>
        <s v="0670a0af-3684-45b5-944c-a1240ad93777"/>
        <s v="db8a8b09-2360-4782-ad32-0bccb0c3849a"/>
        <s v="46887369-ea19-4d02-9272-c1079149f484"/>
        <s v="008941c4-8a49-4825-83dd-0454dd44f0eb"/>
        <s v="a49f7c15-53ca-40fa-a6d4-fd6ec24ac5a4"/>
        <s v="c64fc8d9-5ddb-4bfb-9893-3df6ffba70ff"/>
        <s v="2b38f268-060f-4ee7-aaed-715627975c3c"/>
        <s v="d01f2f12-3fbf-4df7-be53-ecfd417f9f81"/>
        <s v="d8661fb5-0a6d-4308-ba8b-3206239f7053"/>
        <s v="f0854809-469d-4aa2-8877-57ce3be1ae32"/>
        <s v="4b910742-e1a3-445b-a49c-c35dbc224f18"/>
        <s v="18e83ed5-fb9f-47d6-8d6f-e21a5f10c760"/>
        <s v="c0f7f61f-19f4-424c-8e8b-abc5cf179dee"/>
        <s v="5c87a320-c89c-4674-8502-f6511e18df66"/>
        <s v="ac69a0e2-05d0-4c12-986a-f858525e8ea5"/>
        <s v="d45f6bc3-afa4-4393-aec4-14d5861812f6"/>
        <s v="3dc46824-4258-4f52-9f0d-83fc957e1dac"/>
        <s v="41e87e1b-efd7-416a-80e8-0ad3fd1b51b5"/>
        <s v="ecc98c30-bce3-4ea5-9468-d5079d20c6ab"/>
        <s v="921d94f9-6659-46af-8cf0-a625f5832354"/>
        <s v="0a9ba1d9-8997-4fd8-b708-3e212e9d1bf8"/>
        <s v="da04b4a4-bd1a-47fc-a0c3-e49f80474726"/>
        <s v="58ba2c7d-a5c8-4c65-92cf-502984a4d920"/>
        <s v="43ab919b-075d-468c-9289-c249ab26e303"/>
        <s v="71fe5e20-3b03-4d71-a19c-7b01e72b2060"/>
        <s v="c01df7b7-8d57-49be-a6c3-da9ec76c57b9"/>
        <s v="45b01479-6eff-4cee-a2f9-696058ad7009"/>
        <s v="ffa190dc-c994-4c45-a1eb-cb209b2ebbb1"/>
        <s v="ba8cc2a0-72f9-4af0-a25c-10dc5fb46723"/>
        <s v="07cb6eb5-2458-481f-a7aa-f9a008ee50fd"/>
        <s v="83d5d145-91fd-4284-85fb-df20b2bd9cda"/>
        <s v="82a3acd6-51f2-4f4f-afba-7466d0e26900"/>
        <s v="6c097541-7505-4d8e-af7c-e03109afddaa"/>
        <s v="b4a94ddf-a56e-40d7-9e50-dacb94568608"/>
        <s v="9f850170-6285-4c62-8ae0-bf705d906b8c"/>
        <s v="e5f5ef5d-f9d7-4c25-b368-522839d0d5a6"/>
        <s v="c68b06d9-e5db-4c81-b415-199c0ce1e958"/>
        <s v="1beec98a-5e6d-41bd-90ce-bff81349e433"/>
        <s v="2f938a4a-693c-48b0-82e4-cae33ae1b44f"/>
        <s v="f824ccb4-9a6a-4f97-9580-1034366e2254"/>
        <s v="92f91276-98fd-4323-9cc3-afc6807a3ebd"/>
        <s v="7d162873-fca8-4ed0-9f5c-e105f362e46a"/>
        <s v="5aa1aec2-a038-4355-83f0-766de52a326e"/>
        <s v="d35f18d6-9da9-4d7f-ac7e-5ec8d4a166b0"/>
        <s v="5c7282bd-5c83-47cb-b193-af980aef3d40"/>
        <s v="299447f2-980a-4320-87c1-ab9507c9a31b"/>
        <s v="ca2ee6e5-d177-4a9b-b721-0f121c1465e3"/>
        <s v="a12a3df2-5748-41ab-900b-21406907274b"/>
        <s v="ba5a48d2-0a03-4ce2-abfe-2bb9430b4091"/>
        <s v="275c623b-a695-4b65-9a15-9bd3840423af"/>
        <s v="c3e92ea6-7f4d-4809-9b6b-484eb4becf16"/>
        <s v="efb38392-57e0-4184-993e-c125541e0ec1"/>
        <s v="9d35eeff-099b-46b0-bc79-ab84a4d619a1"/>
        <s v="92f1d852-4efa-4885-aaf6-807bcd973ff3"/>
        <s v="0451a136-3810-4056-b1b4-c2231fd8d1bf"/>
        <s v="6bbd4eef-0271-42d5-ae26-5876c703d8a7"/>
        <s v="9e2ffa47-be09-480b-8f00-e296267559c2"/>
        <s v="44640ef4-7388-473f-a132-c5cf461a1083"/>
        <s v="30b2b1bc-53e4-4de2-ac35-e90bd0f8a513"/>
        <s v="4a508b4e-5255-4703-aa67-84374ea274fe"/>
        <s v="21daae4d-64ee-43d4-8ebe-e1176c58d50c"/>
        <s v="7dfbe37a-bdb3-4296-a581-83ac2f6e0c7f"/>
        <s v="dafddca5-a61e-46bd-a833-5319fb782d14"/>
        <s v="4d8c6406-8f65-46e9-9e65-5ac10a362dda"/>
        <s v="324c1fbc-8279-41eb-86c1-c52a62f0e37f"/>
        <s v="962ec764-d6a1-4c61-bb31-b4f8886fc725"/>
        <s v="b68cce68-c2f3-47bf-b690-6ac34f32d961"/>
        <s v="a7655a63-d6d3-4da8-afe9-3dc5dd2f31fd"/>
        <s v="1a4c4034-6388-40d0-b167-546b517312b8"/>
        <s v="614c50b6-92ab-4a04-a782-8c4d424b0269"/>
        <s v="a58f0802-524f-4a3f-ac24-b6a9e20dc3d2"/>
        <s v="5810674f-451a-499e-ad42-c7f1a001e9f1"/>
        <s v="a334f6ff-bf50-427b-843b-c8438970f3de"/>
        <s v="278f287f-bd53-467d-b15e-664b651afb6b"/>
        <s v="dd6b57d8-c749-4cf0-844a-97e9621c3065"/>
        <s v="822cfe1d-8c4e-4e82-9ca4-a4fa7a114b8b"/>
        <s v="803f1543-4af1-46b4-87c9-c259bc66a2b4"/>
        <s v="28edf12c-70c0-4170-8a96-1ac84fc06802"/>
        <s v="be8cba25-6b12-4f09-9d92-4b19f51fb456"/>
        <s v="3cee997a-53a8-4b6a-9615-9ad3b54a9bd1"/>
        <s v="f9a510c1-b499-4c30-8a72-14a4ce464b75"/>
        <s v="f7f95628-7c4b-43cf-9d5e-7e7953b824ae"/>
        <s v="1b8301b2-7274-406a-8194-791d8161de7a"/>
        <s v="c08c6094-ae34-4278-90fb-db662f456223"/>
        <s v="c2a3120c-c1d5-4bad-a056-afc547404e11"/>
        <s v="96b75d8a-2708-4526-a962-c87d5b739009"/>
        <s v="fd5222a7-1493-463d-bf80-88e383187034"/>
        <s v="b684b3bd-57d3-4e8a-87a2-241e524ca14d"/>
        <s v="11e72490-3699-434a-bb21-38b0a3320051"/>
        <s v="6aacfcd4-c667-4557-87e5-8fcbf54322b5"/>
        <s v="2204036d-6739-42de-bdeb-4b9459aeef44"/>
        <s v="2573febb-0a69-42fb-96f7-f33d0bc33238"/>
        <s v="776fc75a-cbb9-4415-903e-2275e1ec2e11"/>
        <s v="5d633d05-bbd6-483e-9ab2-d85323cbd9f5"/>
        <s v="5c9515b7-88be-4163-91ed-0b7522fe5cbe"/>
        <s v="9e976906-2364-4658-a3db-4aa509549217"/>
        <s v="5d3fca97-da26-4ce7-a2ac-303bb77b62a6"/>
        <s v="c617e071-9666-42b1-9ff2-1d13e7eadffc"/>
        <s v="b8034076-889f-40d0-89bb-bd0ff50badd4"/>
        <s v="8d82e0ff-d498-41f5-abc8-d0d51a90acaa"/>
        <s v="05a098d9-d5a6-4e18-a943-93cdceb70263"/>
        <s v="4eeb1037-a7dd-435e-beb4-fae724bd1d5b"/>
        <s v="7bf7ebb0-3e5a-48c4-a756-177f2b07de97"/>
        <s v="cea65048-a10c-450b-972e-ea0a14ce51b1"/>
        <s v="5339e31f-09e6-4e7f-8ab3-078df30e1ff7"/>
        <s v="5b5896b2-9985-49a2-893d-5e4f9f7e5b6c"/>
        <s v="85e31ce3-4e7f-4658-8ebc-d7526a417289"/>
        <s v="72a7fb77-95af-4050-9c7a-b64e0b631f39"/>
        <s v="7bde290d-4d03-4d38-bb02-5f405e687da4"/>
        <s v="4850650e-6338-41a7-8bf3-44412affd0ed"/>
        <s v="0f221632-1b39-4bc1-920f-d7a8b0a0f123"/>
        <s v="5ad8161e-0e01-4e89-9f7f-51d5ae5badea"/>
        <s v="57cd1a24-61ec-4d05-917c-a047cc78fbae"/>
        <s v="d9060ba1-b2b9-482a-a7ab-21da16486b2e"/>
        <s v="cf252f01-63e8-49af-83fe-fe1525ddbb8e"/>
        <s v="90692010-3651-4733-a049-dec982fe35c2"/>
        <s v="5dbe7d28-0511-42a3-b079-b2996c8e992a"/>
        <s v="9e7936d0-467e-4708-8f15-8abd882678c3"/>
        <s v="aa0a8cf8-db4c-4471-8792-3548bb109781"/>
        <s v="880e121c-4b2a-434a-85b6-e6c9807790bc"/>
        <s v="a95c41fe-d268-4188-87d2-1179339422ab"/>
        <s v="a3320f63-8cba-4550-85b7-2aeaa7d2e0c2"/>
        <s v="585d740c-f99b-4c08-a18d-17a2d80fa0aa"/>
        <s v="50d15734-32f1-40cc-b86c-5b07dd415c11"/>
        <s v="928c9882-695f-4333-80f2-9ef069f30ba6"/>
        <s v="0c90ce32-bc89-437b-8a06-575ecca1a9f8"/>
        <s v="1754dc94-573b-4cfe-aa4f-8016a39caaa4"/>
        <s v="e514cd44-0315-4c8b-8e8d-185f2fdf4980"/>
        <s v="445a9325-68cc-4fc4-8d4f-f2bd31767d12"/>
        <s v="ed2aac8e-bdab-4a38-842b-0039618f205a"/>
        <s v="506c992d-ee39-408b-a0c0-edd1e9bc4e48"/>
        <s v="2085a2e0-3f14-4c83-8faf-381a5570a035"/>
        <s v="b8ca5912-ff6e-496b-972a-7c7f8e0d5062"/>
        <s v="9893579d-fba5-43fb-85b2-b1189d6bf32a"/>
        <s v="4c2c17fb-57cc-478b-9195-74975d4a9583"/>
        <s v="d693559f-22c7-4d70-b7d7-1a57dc0eca8e"/>
      </sharedItems>
    </cacheField>
    <cacheField name="Customer ID" numFmtId="0">
      <sharedItems containsSemiMixedTypes="0" containsString="0" containsNumber="1" containsInteger="1" minValue="100803" maxValue="999369"/>
    </cacheField>
    <cacheField name="Customer Name" numFmtId="0">
      <sharedItems/>
    </cacheField>
    <cacheField name="Account Number" numFmtId="0">
      <sharedItems containsSemiMixedTypes="0" containsString="0" containsNumber="1" containsInteger="1" minValue="100768524152" maxValue="996618159017"/>
    </cacheField>
    <cacheField name="Region" numFmtId="0">
      <sharedItems count="5">
        <s v="Central"/>
        <s v="East"/>
        <s v="West"/>
        <s v="North"/>
        <s v="South"/>
      </sharedItems>
    </cacheField>
    <cacheField name="City" numFmtId="0">
      <sharedItems count="25">
        <s v="Indore"/>
        <s v="Guwahati"/>
        <s v="Ahmedabad"/>
        <s v="Pune"/>
        <s v="Bhopal"/>
        <s v="Raipur"/>
        <s v="Surat"/>
        <s v="Amritsar"/>
        <s v="Nagpur"/>
        <s v="Patna"/>
        <s v="Lucknow"/>
        <s v="Jabalpur"/>
        <s v="Coimbatore"/>
        <s v="Kochi"/>
        <s v="Chennai"/>
        <s v="Hyderabad"/>
        <s v="Mumbai"/>
        <s v="Chandigarh"/>
        <s v="Kolkata"/>
        <s v="Gwalior"/>
        <s v="Bangalore"/>
        <s v="Jaipur"/>
        <s v="Delhi"/>
        <s v="Bhubaneswar"/>
        <s v="Ranchi"/>
      </sharedItems>
    </cacheField>
    <cacheField name="Branch Name" numFmtId="0">
      <sharedItems count="25">
        <s v="Indore Branch"/>
        <s v="Guwahati Branch"/>
        <s v="Ahmedabad Branch"/>
        <s v="Pune Branch"/>
        <s v="Bhopal Branch"/>
        <s v="Raipur Branch"/>
        <s v="Surat Branch"/>
        <s v="Amritsar Branch"/>
        <s v="Nagpur Branch"/>
        <s v="Patna Branch"/>
        <s v="Lucknow Branch"/>
        <s v="Jabalpur Branch"/>
        <s v="Coimbatore Branch"/>
        <s v="Kochi Branch"/>
        <s v="Chennai Branch"/>
        <s v="Hyderabad Branch"/>
        <s v="Mumbai Branch"/>
        <s v="Chandigarh Branch"/>
        <s v="Kolkata Branch"/>
        <s v="Gwalior Branch"/>
        <s v="Bangalore Branch"/>
        <s v="Jaipur Branch"/>
        <s v="Delhi Branch"/>
        <s v="Bhubaneswar Branch"/>
        <s v="Ranchi Branch"/>
      </sharedItems>
    </cacheField>
    <cacheField name="Account Type" numFmtId="0">
      <sharedItems/>
    </cacheField>
    <cacheField name="Transaction Type" numFmtId="0">
      <sharedItems count="4">
        <s v="Cheque"/>
        <s v="Withdrawal"/>
        <s v="Deposit"/>
        <s v="Online Transfer"/>
      </sharedItems>
    </cacheField>
    <cacheField name="Transaction Amount" numFmtId="0">
      <sharedItems containsSemiMixedTypes="0" containsString="0" containsNumber="1" minValue="1553.42" maxValue="596395.99"/>
    </cacheField>
    <cacheField name="Payment Mode" numFmtId="0">
      <sharedItems count="5">
        <s v="UPI"/>
        <s v="Credit Card"/>
        <s v="Net Banking"/>
        <s v="Debit Card"/>
        <s v="Cash"/>
      </sharedItems>
    </cacheField>
    <cacheField name="Transaction Date" numFmtId="164">
      <sharedItems containsSemiMixedTypes="0" containsNonDate="0" containsDate="1" containsString="0" minDate="2023-07-11T00:00:00" maxDate="2025-07-07T00:00:00" count="362">
        <d v="2025-04-09T00:00:00"/>
        <d v="2023-10-29T00:00:00"/>
        <d v="2024-03-22T00:00:00"/>
        <d v="2024-12-20T00:00:00"/>
        <d v="2024-08-02T00:00:00"/>
        <d v="2024-06-10T00:00:00"/>
        <d v="2024-10-12T00:00:00"/>
        <d v="2024-05-24T00:00:00"/>
        <d v="2024-08-27T00:00:00"/>
        <d v="2023-12-13T00:00:00"/>
        <d v="2023-07-14T00:00:00"/>
        <d v="2024-07-12T00:00:00"/>
        <d v="2023-11-13T00:00:00"/>
        <d v="2025-06-29T00:00:00"/>
        <d v="2023-08-20T00:00:00"/>
        <d v="2024-04-12T00:00:00"/>
        <d v="2024-02-06T00:00:00"/>
        <d v="2024-06-09T00:00:00"/>
        <d v="2024-08-13T00:00:00"/>
        <d v="2024-11-18T00:00:00"/>
        <d v="2025-02-07T00:00:00"/>
        <d v="2025-03-09T00:00:00"/>
        <d v="2024-10-05T00:00:00"/>
        <d v="2024-12-25T00:00:00"/>
        <d v="2024-10-24T00:00:00"/>
        <d v="2024-04-23T00:00:00"/>
        <d v="2024-07-30T00:00:00"/>
        <d v="2024-06-07T00:00:00"/>
        <d v="2023-08-18T00:00:00"/>
        <d v="2023-10-18T00:00:00"/>
        <d v="2024-05-17T00:00:00"/>
        <d v="2023-07-21T00:00:00"/>
        <d v="2025-05-19T00:00:00"/>
        <d v="2025-03-30T00:00:00"/>
        <d v="2025-02-18T00:00:00"/>
        <d v="2023-11-11T00:00:00"/>
        <d v="2024-10-23T00:00:00"/>
        <d v="2024-02-14T00:00:00"/>
        <d v="2024-10-01T00:00:00"/>
        <d v="2024-09-13T00:00:00"/>
        <d v="2023-09-29T00:00:00"/>
        <d v="2023-12-09T00:00:00"/>
        <d v="2024-07-15T00:00:00"/>
        <d v="2024-05-26T00:00:00"/>
        <d v="2023-08-13T00:00:00"/>
        <d v="2023-09-17T00:00:00"/>
        <d v="2024-02-26T00:00:00"/>
        <d v="2023-11-28T00:00:00"/>
        <d v="2023-11-29T00:00:00"/>
        <d v="2025-02-24T00:00:00"/>
        <d v="2025-05-21T00:00:00"/>
        <d v="2023-08-15T00:00:00"/>
        <d v="2024-07-19T00:00:00"/>
        <d v="2024-10-30T00:00:00"/>
        <d v="2025-05-27T00:00:00"/>
        <d v="2025-01-05T00:00:00"/>
        <d v="2024-08-14T00:00:00"/>
        <d v="2024-05-03T00:00:00"/>
        <d v="2025-02-10T00:00:00"/>
        <d v="2024-10-16T00:00:00"/>
        <d v="2025-01-09T00:00:00"/>
        <d v="2024-03-06T00:00:00"/>
        <d v="2024-07-02T00:00:00"/>
        <d v="2024-10-04T00:00:00"/>
        <d v="2024-12-16T00:00:00"/>
        <d v="2023-12-06T00:00:00"/>
        <d v="2023-12-26T00:00:00"/>
        <d v="2025-02-22T00:00:00"/>
        <d v="2024-11-05T00:00:00"/>
        <d v="2023-10-23T00:00:00"/>
        <d v="2024-08-25T00:00:00"/>
        <d v="2025-04-14T00:00:00"/>
        <d v="2023-09-01T00:00:00"/>
        <d v="2023-11-20T00:00:00"/>
        <d v="2023-12-21T00:00:00"/>
        <d v="2023-11-15T00:00:00"/>
        <d v="2025-03-16T00:00:00"/>
        <d v="2024-04-26T00:00:00"/>
        <d v="2025-04-21T00:00:00"/>
        <d v="2023-12-20T00:00:00"/>
        <d v="2024-10-02T00:00:00"/>
        <d v="2025-04-26T00:00:00"/>
        <d v="2025-02-20T00:00:00"/>
        <d v="2025-05-02T00:00:00"/>
        <d v="2024-02-07T00:00:00"/>
        <d v="2024-01-30T00:00:00"/>
        <d v="2024-01-08T00:00:00"/>
        <d v="2023-11-18T00:00:00"/>
        <d v="2024-10-15T00:00:00"/>
        <d v="2025-03-26T00:00:00"/>
        <d v="2024-04-10T00:00:00"/>
        <d v="2025-02-27T00:00:00"/>
        <d v="2024-01-27T00:00:00"/>
        <d v="2025-06-10T00:00:00"/>
        <d v="2024-01-10T00:00:00"/>
        <d v="2025-06-28T00:00:00"/>
        <d v="2023-10-04T00:00:00"/>
        <d v="2024-05-20T00:00:00"/>
        <d v="2024-11-22T00:00:00"/>
        <d v="2023-11-24T00:00:00"/>
        <d v="2024-08-01T00:00:00"/>
        <d v="2024-07-29T00:00:00"/>
        <d v="2024-06-18T00:00:00"/>
        <d v="2024-10-03T00:00:00"/>
        <d v="2025-04-15T00:00:00"/>
        <d v="2024-08-10T00:00:00"/>
        <d v="2024-06-21T00:00:00"/>
        <d v="2025-07-01T00:00:00"/>
        <d v="2024-07-03T00:00:00"/>
        <d v="2025-03-29T00:00:00"/>
        <d v="2024-10-26T00:00:00"/>
        <d v="2025-03-08T00:00:00"/>
        <d v="2024-11-24T00:00:00"/>
        <d v="2023-11-02T00:00:00"/>
        <d v="2024-04-24T00:00:00"/>
        <d v="2023-07-13T00:00:00"/>
        <d v="2024-05-29T00:00:00"/>
        <d v="2024-09-28T00:00:00"/>
        <d v="2024-03-07T00:00:00"/>
        <d v="2025-04-02T00:00:00"/>
        <d v="2024-09-01T00:00:00"/>
        <d v="2024-02-08T00:00:00"/>
        <d v="2023-11-22T00:00:00"/>
        <d v="2025-05-14T00:00:00"/>
        <d v="2023-11-08T00:00:00"/>
        <d v="2025-02-03T00:00:00"/>
        <d v="2025-03-11T00:00:00"/>
        <d v="2025-01-14T00:00:00"/>
        <d v="2025-01-25T00:00:00"/>
        <d v="2023-07-15T00:00:00"/>
        <d v="2025-01-22T00:00:00"/>
        <d v="2024-06-23T00:00:00"/>
        <d v="2023-09-23T00:00:00"/>
        <d v="2025-03-19T00:00:00"/>
        <d v="2024-05-18T00:00:00"/>
        <d v="2024-12-06T00:00:00"/>
        <d v="2025-01-20T00:00:00"/>
        <d v="2025-03-18T00:00:00"/>
        <d v="2023-09-02T00:00:00"/>
        <d v="2025-05-17T00:00:00"/>
        <d v="2023-12-15T00:00:00"/>
        <d v="2024-06-29T00:00:00"/>
        <d v="2024-08-21T00:00:00"/>
        <d v="2024-11-25T00:00:00"/>
        <d v="2025-06-25T00:00:00"/>
        <d v="2024-05-11T00:00:00"/>
        <d v="2024-09-30T00:00:00"/>
        <d v="2024-01-12T00:00:00"/>
        <d v="2023-12-18T00:00:00"/>
        <d v="2024-01-11T00:00:00"/>
        <d v="2024-12-08T00:00:00"/>
        <d v="2025-06-03T00:00:00"/>
        <d v="2025-01-08T00:00:00"/>
        <d v="2024-02-22T00:00:00"/>
        <d v="2024-02-11T00:00:00"/>
        <d v="2024-10-08T00:00:00"/>
        <d v="2023-08-28T00:00:00"/>
        <d v="2025-06-26T00:00:00"/>
        <d v="2025-05-29T00:00:00"/>
        <d v="2024-08-05T00:00:00"/>
        <d v="2025-06-02T00:00:00"/>
        <d v="2024-11-27T00:00:00"/>
        <d v="2024-03-13T00:00:00"/>
        <d v="2025-05-08T00:00:00"/>
        <d v="2024-09-14T00:00:00"/>
        <d v="2024-08-30T00:00:00"/>
        <d v="2024-12-09T00:00:00"/>
        <d v="2023-08-02T00:00:00"/>
        <d v="2024-09-29T00:00:00"/>
        <d v="2024-11-23T00:00:00"/>
        <d v="2024-03-18T00:00:00"/>
        <d v="2024-12-12T00:00:00"/>
        <d v="2025-02-12T00:00:00"/>
        <d v="2024-03-10T00:00:00"/>
        <d v="2024-07-11T00:00:00"/>
        <d v="2024-11-28T00:00:00"/>
        <d v="2025-01-01T00:00:00"/>
        <d v="2023-11-05T00:00:00"/>
        <d v="2025-05-20T00:00:00"/>
        <d v="2023-11-07T00:00:00"/>
        <d v="2025-04-28T00:00:00"/>
        <d v="2024-09-04T00:00:00"/>
        <d v="2024-03-16T00:00:00"/>
        <d v="2025-04-23T00:00:00"/>
        <d v="2024-10-07T00:00:00"/>
        <d v="2024-02-19T00:00:00"/>
        <d v="2025-04-18T00:00:00"/>
        <d v="2024-01-09T00:00:00"/>
        <d v="2023-08-16T00:00:00"/>
        <d v="2023-07-24T00:00:00"/>
        <d v="2023-12-10T00:00:00"/>
        <d v="2024-04-04T00:00:00"/>
        <d v="2024-11-16T00:00:00"/>
        <d v="2025-07-05T00:00:00"/>
        <d v="2024-04-16T00:00:00"/>
        <d v="2025-01-03T00:00:00"/>
        <d v="2025-06-27T00:00:00"/>
        <d v="2024-01-04T00:00:00"/>
        <d v="2024-10-11T00:00:00"/>
        <d v="2025-07-06T00:00:00"/>
        <d v="2025-01-06T00:00:00"/>
        <d v="2024-08-22T00:00:00"/>
        <d v="2024-03-20T00:00:00"/>
        <d v="2024-09-21T00:00:00"/>
        <d v="2025-04-29T00:00:00"/>
        <d v="2024-04-21T00:00:00"/>
        <d v="2023-11-19T00:00:00"/>
        <d v="2025-03-28T00:00:00"/>
        <d v="2025-05-18T00:00:00"/>
        <d v="2024-11-13T00:00:00"/>
        <d v="2024-09-25T00:00:00"/>
        <d v="2024-07-08T00:00:00"/>
        <d v="2024-05-02T00:00:00"/>
        <d v="2023-07-11T00:00:00"/>
        <d v="2024-05-01T00:00:00"/>
        <d v="2024-05-04T00:00:00"/>
        <d v="2024-09-16T00:00:00"/>
        <d v="2024-11-06T00:00:00"/>
        <d v="2023-11-10T00:00:00"/>
        <d v="2023-10-15T00:00:00"/>
        <d v="2024-03-11T00:00:00"/>
        <d v="2024-02-05T00:00:00"/>
        <d v="2023-08-01T00:00:00"/>
        <d v="2025-05-15T00:00:00"/>
        <d v="2023-08-23T00:00:00"/>
        <d v="2025-04-10T00:00:00"/>
        <d v="2024-04-20T00:00:00"/>
        <d v="2025-02-02T00:00:00"/>
        <d v="2023-12-02T00:00:00"/>
        <d v="2024-03-01T00:00:00"/>
        <d v="2024-01-29T00:00:00"/>
        <d v="2023-09-20T00:00:00"/>
        <d v="2024-05-08T00:00:00"/>
        <d v="2023-12-19T00:00:00"/>
        <d v="2023-11-25T00:00:00"/>
        <d v="2023-11-21T00:00:00"/>
        <d v="2024-09-06T00:00:00"/>
        <d v="2024-02-18T00:00:00"/>
        <d v="2023-10-11T00:00:00"/>
        <d v="2024-04-06T00:00:00"/>
        <d v="2024-05-31T00:00:00"/>
        <d v="2025-04-06T00:00:00"/>
        <d v="2024-07-06T00:00:00"/>
        <d v="2024-05-14T00:00:00"/>
        <d v="2024-09-24T00:00:00"/>
        <d v="2025-04-30T00:00:00"/>
        <d v="2025-06-24T00:00:00"/>
        <d v="2024-04-09T00:00:00"/>
        <d v="2025-02-21T00:00:00"/>
        <d v="2024-01-24T00:00:00"/>
        <d v="2024-07-04T00:00:00"/>
        <d v="2024-03-27T00:00:00"/>
        <d v="2024-02-10T00:00:00"/>
        <d v="2025-06-21T00:00:00"/>
        <d v="2024-03-23T00:00:00"/>
        <d v="2024-11-12T00:00:00"/>
        <d v="2024-02-16T00:00:00"/>
        <d v="2025-02-28T00:00:00"/>
        <d v="2024-09-02T00:00:00"/>
        <d v="2024-05-22T00:00:00"/>
        <d v="2024-11-03T00:00:00"/>
        <d v="2024-11-02T00:00:00"/>
        <d v="2023-09-16T00:00:00"/>
        <d v="2023-12-08T00:00:00"/>
        <d v="2025-02-17T00:00:00"/>
        <d v="2024-12-18T00:00:00"/>
        <d v="2025-01-29T00:00:00"/>
        <d v="2024-03-25T00:00:00"/>
        <d v="2024-04-19T00:00:00"/>
        <d v="2025-01-23T00:00:00"/>
        <d v="2024-10-28T00:00:00"/>
        <d v="2024-06-30T00:00:00"/>
        <d v="2023-08-11T00:00:00"/>
        <d v="2025-02-15T00:00:00"/>
        <d v="2023-12-05T00:00:00"/>
        <d v="2024-05-06T00:00:00"/>
        <d v="2023-07-22T00:00:00"/>
        <d v="2025-02-26T00:00:00"/>
        <d v="2024-12-15T00:00:00"/>
        <d v="2024-12-23T00:00:00"/>
        <d v="2023-07-17T00:00:00"/>
        <d v="2025-05-28T00:00:00"/>
        <d v="2024-08-20T00:00:00"/>
        <d v="2024-02-20T00:00:00"/>
        <d v="2023-07-12T00:00:00"/>
        <d v="2025-06-11T00:00:00"/>
        <d v="2024-01-21T00:00:00"/>
        <d v="2024-08-15T00:00:00"/>
        <d v="2023-09-07T00:00:00"/>
        <d v="2023-09-12T00:00:00"/>
        <d v="2024-03-29T00:00:00"/>
        <d v="2025-03-10T00:00:00"/>
        <d v="2024-01-03T00:00:00"/>
        <d v="2025-05-10T00:00:00"/>
        <d v="2024-06-06T00:00:00"/>
        <d v="2025-02-09T00:00:00"/>
        <d v="2023-08-30T00:00:00"/>
        <d v="2024-11-20T00:00:00"/>
        <d v="2023-09-03T00:00:00"/>
        <d v="2023-10-16T00:00:00"/>
        <d v="2023-09-30T00:00:00"/>
        <d v="2024-04-18T00:00:00"/>
        <d v="2025-01-24T00:00:00"/>
        <d v="2024-02-25T00:00:00"/>
        <d v="2025-01-28T00:00:00"/>
        <d v="2024-05-16T00:00:00"/>
        <d v="2024-05-28T00:00:00"/>
        <d v="2024-03-03T00:00:00"/>
        <d v="2025-06-13T00:00:00"/>
        <d v="2024-03-15T00:00:00"/>
        <d v="2023-12-04T00:00:00"/>
        <d v="2024-06-16T00:00:00"/>
        <d v="2025-03-22T00:00:00"/>
        <d v="2024-03-14T00:00:00"/>
        <d v="2023-08-27T00:00:00"/>
        <d v="2024-07-16T00:00:00"/>
        <d v="2024-04-01T00:00:00"/>
        <d v="2025-04-12T00:00:00"/>
        <d v="2023-10-06T00:00:00"/>
        <d v="2024-08-24T00:00:00"/>
        <d v="2023-10-30T00:00:00"/>
        <d v="2024-07-23T00:00:00"/>
        <d v="2023-10-05T00:00:00"/>
        <d v="2024-12-04T00:00:00"/>
        <d v="2023-12-29T00:00:00"/>
        <d v="2025-02-23T00:00:00"/>
        <d v="2024-02-23T00:00:00"/>
        <d v="2024-07-05T00:00:00"/>
        <d v="2023-12-28T00:00:00"/>
        <d v="2024-01-13T00:00:00"/>
        <d v="2025-04-17T00:00:00"/>
        <d v="2023-10-08T00:00:00"/>
        <d v="2025-01-12T00:00:00"/>
        <d v="2023-09-24T00:00:00"/>
        <d v="2024-09-18T00:00:00"/>
        <d v="2024-09-11T00:00:00"/>
        <d v="2024-01-31T00:00:00"/>
        <d v="2024-06-11T00:00:00"/>
        <d v="2023-10-12T00:00:00"/>
        <d v="2024-02-24T00:00:00"/>
        <d v="2024-12-01T00:00:00"/>
        <d v="2023-08-14T00:00:00"/>
        <d v="2023-08-29T00:00:00"/>
        <d v="2024-06-24T00:00:00"/>
        <d v="2024-08-17T00:00:00"/>
        <d v="2024-12-13T00:00:00"/>
        <d v="2023-11-30T00:00:00"/>
        <d v="2024-06-27T00:00:00"/>
        <d v="2024-11-11T00:00:00"/>
        <d v="2025-06-17T00:00:00"/>
        <d v="2025-02-11T00:00:00"/>
        <d v="2024-10-22T00:00:00"/>
        <d v="2025-01-13T00:00:00"/>
        <d v="2023-08-26T00:00:00"/>
        <d v="2023-11-26T00:00:00"/>
        <d v="2023-08-12T00:00:00"/>
        <d v="2024-11-01T00:00:00"/>
        <d v="2024-05-10T00:00:00"/>
        <d v="2024-02-01T00:00:00"/>
        <d v="2024-04-25T00:00:00"/>
        <d v="2024-08-31T00:00:00"/>
        <d v="2025-07-04T00:00:00"/>
      </sharedItems>
    </cacheField>
    <cacheField name="Transaction Status" numFmtId="0">
      <sharedItems count="4">
        <s v="Completed"/>
        <s v="Pending"/>
        <s v="Failed"/>
        <s v="Reversed"/>
      </sharedItems>
    </cacheField>
    <cacheField name="Balance After Txn" numFmtId="0">
      <sharedItems containsSemiMixedTypes="0" containsString="0" containsNumber="1" minValue="5539.5400000000081" maxValue="2345208.34" count="500">
        <n v="2330149"/>
        <n v="1668521.67"/>
        <n v="853196.4800000001"/>
        <n v="926115.91999999993"/>
        <n v="534430.57999999996"/>
        <n v="2011952.25"/>
        <n v="1713155.09"/>
        <n v="1053966.8899999999"/>
        <n v="2242547.87"/>
        <n v="1766313.5"/>
        <n v="836675.46"/>
        <n v="1552234.03"/>
        <n v="2235418.34"/>
        <n v="900185.58000000007"/>
        <n v="2296120.29"/>
        <n v="1836585.45"/>
        <n v="2037513.89"/>
        <n v="2140324.83"/>
        <n v="1704438.38"/>
        <n v="1407474.11"/>
        <n v="473505.78"/>
        <n v="1834945.27"/>
        <n v="1056408.71"/>
        <n v="540147.12"/>
        <n v="1473919.05"/>
        <n v="2087860.21"/>
        <n v="343435.64"/>
        <n v="1433209.47"/>
        <n v="838290.03999999992"/>
        <n v="1870328.71"/>
        <n v="2159844.0099999998"/>
        <n v="1965672.23"/>
        <n v="1180170.71"/>
        <n v="199853.73"/>
        <n v="777778"/>
        <n v="183649.06"/>
        <n v="1678066.58"/>
        <n v="351667.74"/>
        <n v="1171836.49"/>
        <n v="930650.27"/>
        <n v="604057.52"/>
        <n v="1596795"/>
        <n v="1345360.8"/>
        <n v="52500.329999999987"/>
        <n v="1019397.23"/>
        <n v="1886842.96"/>
        <n v="1606533"/>
        <n v="430998.17"/>
        <n v="820338.34"/>
        <n v="1640818.48"/>
        <n v="673253.87"/>
        <n v="988997.22"/>
        <n v="855697.4"/>
        <n v="1904363.29"/>
        <n v="1584338.01"/>
        <n v="545204.92000000004"/>
        <n v="1754863.47"/>
        <n v="310897.05"/>
        <n v="686226.5"/>
        <n v="613016.15"/>
        <n v="631156.77"/>
        <n v="501511.86"/>
        <n v="375954.72"/>
        <n v="687831.58000000007"/>
        <n v="167674.6"/>
        <n v="1957746.55"/>
        <n v="1087487.46"/>
        <n v="1480230.05"/>
        <n v="506011.52"/>
        <n v="175635.71"/>
        <n v="579930.85"/>
        <n v="2030256.51"/>
        <n v="1896600.3"/>
        <n v="1569398.54"/>
        <n v="222485.48"/>
        <n v="300060.15000000002"/>
        <n v="1469822.53"/>
        <n v="202394.12"/>
        <n v="2153343.14"/>
        <n v="1368075.07"/>
        <n v="793311.08"/>
        <n v="245310.82"/>
        <n v="720514.71000000008"/>
        <n v="1341143.01"/>
        <n v="1568873.7"/>
        <n v="231828.22"/>
        <n v="759841.91999999993"/>
        <n v="1878459.02"/>
        <n v="80849.75"/>
        <n v="2162794.13"/>
        <n v="971684.35"/>
        <n v="1603555.77"/>
        <n v="853283.80999999994"/>
        <n v="899951.25"/>
        <n v="1330639.23"/>
        <n v="1518701.76"/>
        <n v="318250.03999999998"/>
        <n v="275766.65999999997"/>
        <n v="1767810"/>
        <n v="1732815.58"/>
        <n v="1938830.27"/>
        <n v="909536.89"/>
        <n v="908547.25"/>
        <n v="1663818.17"/>
        <n v="2200135.6800000002"/>
        <n v="1982268"/>
        <n v="531027.1"/>
        <n v="754321.82000000007"/>
        <n v="943785.49"/>
        <n v="211768.29"/>
        <n v="899053.12"/>
        <n v="1690157.48"/>
        <n v="613416.06000000006"/>
        <n v="1837709.49"/>
        <n v="1085277.28"/>
        <n v="509167.84"/>
        <n v="521060.94"/>
        <n v="1221345.6499999999"/>
        <n v="1191424.69"/>
        <n v="1054990.6399999999"/>
        <n v="274117.08"/>
        <n v="2155021.19"/>
        <n v="1771612.81"/>
        <n v="807658.13000000012"/>
        <n v="1048411.65"/>
        <n v="2103522.29"/>
        <n v="727378.75"/>
        <n v="1655537.9"/>
        <n v="1472571.22"/>
        <n v="647570.24"/>
        <n v="1796676.19"/>
        <n v="1542002.49"/>
        <n v="1639467.16"/>
        <n v="1811889.41"/>
        <n v="1391066.47"/>
        <n v="1574601.6"/>
        <n v="1439911.83"/>
        <n v="1363525.22"/>
        <n v="1821809.35"/>
        <n v="1050564.5900000001"/>
        <n v="1940977.35"/>
        <n v="1370478.57"/>
        <n v="998213.89"/>
        <n v="866095.88"/>
        <n v="646653.53"/>
        <n v="2048155.91"/>
        <n v="1667932.38"/>
        <n v="412865.25"/>
        <n v="2345208.34"/>
        <n v="164830.29999999999"/>
        <n v="670537.15"/>
        <n v="310616.62"/>
        <n v="707859.62000000011"/>
        <n v="891749.57000000007"/>
        <n v="2062972.87"/>
        <n v="102989.25"/>
        <n v="1778008.15"/>
        <n v="594950.13"/>
        <n v="797962.84"/>
        <n v="1932874.96"/>
        <n v="137008.63"/>
        <n v="970456.09999999986"/>
        <n v="1302694.5"/>
        <n v="303737.78000000003"/>
        <n v="464560.08"/>
        <n v="1504466.62"/>
        <n v="173826.27"/>
        <n v="1986716.88"/>
        <n v="1443432.25"/>
        <n v="1709477.05"/>
        <n v="1443259.36"/>
        <n v="1325870.71"/>
        <n v="614510.72"/>
        <n v="2278673.0299999998"/>
        <n v="580928.07999999996"/>
        <n v="602494.71"/>
        <n v="847748.51"/>
        <n v="1516905.19"/>
        <n v="320795.43"/>
        <n v="1644815.09"/>
        <n v="1971539.37"/>
        <n v="110612.71"/>
        <n v="1665408.93"/>
        <n v="1643987.43"/>
        <n v="77396.25"/>
        <n v="1616440.48"/>
        <n v="1111261.05"/>
        <n v="144857.48000000001"/>
        <n v="1385401.9"/>
        <n v="630301.93000000005"/>
        <n v="562061.77"/>
        <n v="1754440.1"/>
        <n v="2282261.11"/>
        <n v="747054.91"/>
        <n v="1817009.99"/>
        <n v="367563.6"/>
        <n v="1764401.86"/>
        <n v="1785565.49"/>
        <n v="33534.019999999997"/>
        <n v="1138412.6299999999"/>
        <n v="901918.7"/>
        <n v="556602.14"/>
        <n v="1454386.03"/>
        <n v="1021765.12"/>
        <n v="1887254.61"/>
        <n v="1543020.48"/>
        <n v="84736.760000000009"/>
        <n v="1500386.7"/>
        <n v="1671638.55"/>
        <n v="687439.49"/>
        <n v="1718077.34"/>
        <n v="2049780.56"/>
        <n v="508306.81999999989"/>
        <n v="1258078.81"/>
        <n v="1287572.97"/>
        <n v="1027058.02"/>
        <n v="744892.46"/>
        <n v="100329.61"/>
        <n v="1528394.35"/>
        <n v="1244069.3400000001"/>
        <n v="334817.68"/>
        <n v="919157.55"/>
        <n v="1685483.16"/>
        <n v="1924698.42"/>
        <n v="284043.40999999997"/>
        <n v="1284629.1200000001"/>
        <n v="1097203.82"/>
        <n v="1251653.83"/>
        <n v="852949.58000000007"/>
        <n v="1142710.9099999999"/>
        <n v="1804511.38"/>
        <n v="1961954.36"/>
        <n v="1096698.1000000001"/>
        <n v="1119253.7"/>
        <n v="2010231.74"/>
        <n v="1451827.9"/>
        <n v="1414350.1"/>
        <n v="1296566.75"/>
        <n v="1203807.42"/>
        <n v="1599051.25"/>
        <n v="1568771.1"/>
        <n v="502408.24"/>
        <n v="995454.57999999984"/>
        <n v="328211.21000000002"/>
        <n v="1216224.52"/>
        <n v="963128.35000000009"/>
        <n v="2206115.66"/>
        <n v="1521366.68"/>
        <n v="429077.61"/>
        <n v="2046300.22"/>
        <n v="1682102.9"/>
        <n v="1549364.71"/>
        <n v="1790482.77"/>
        <n v="735561.71"/>
        <n v="583495.13"/>
        <n v="810409.84"/>
        <n v="45789.930000000008"/>
        <n v="872645.98"/>
        <n v="698051.12"/>
        <n v="519917.55"/>
        <n v="1093605.24"/>
        <n v="1309267.04"/>
        <n v="1633607.23"/>
        <n v="840176.1399999999"/>
        <n v="642282.19999999995"/>
        <n v="1728716.25"/>
        <n v="1960336.41"/>
        <n v="415663.7"/>
        <n v="1348492.26"/>
        <n v="1630300.12"/>
        <n v="1014653.83"/>
        <n v="1977987.89"/>
        <n v="1206544.3400000001"/>
        <n v="1163250.32"/>
        <n v="1739088.85"/>
        <n v="1061842.3999999999"/>
        <n v="981560.64999999991"/>
        <n v="1156721.3700000001"/>
        <n v="501200.97"/>
        <n v="1108834.99"/>
        <n v="1996546.47"/>
        <n v="1018560.23"/>
        <n v="659150.17000000004"/>
        <n v="1995705.93"/>
        <n v="1643531.92"/>
        <n v="2014129.86"/>
        <n v="1603328.83"/>
        <n v="1035990.72"/>
        <n v="1340680.25"/>
        <n v="1761005.02"/>
        <n v="1621110.9"/>
        <n v="2174884.65"/>
        <n v="1359620.56"/>
        <n v="1180805.3799999999"/>
        <n v="1571656.18"/>
        <n v="1748371.94"/>
        <n v="723530.21000000008"/>
        <n v="1973122.34"/>
        <n v="1096499.6100000001"/>
        <n v="1183803.32"/>
        <n v="1159209.6200000001"/>
        <n v="2184054.12"/>
        <n v="1359400.18"/>
        <n v="1782974.75"/>
        <n v="1185408.31"/>
        <n v="1661830.21"/>
        <n v="1506146.94"/>
        <n v="1579591.09"/>
        <n v="938423.33"/>
        <n v="431745.3"/>
        <n v="311631.5"/>
        <n v="1325069.24"/>
        <n v="1684299.3"/>
        <n v="585059.64"/>
        <n v="400650.52"/>
        <n v="788581.85"/>
        <n v="239240.66"/>
        <n v="1272270"/>
        <n v="648457.01"/>
        <n v="278385.8"/>
        <n v="458407.24"/>
        <n v="841969.9"/>
        <n v="840788.77"/>
        <n v="1118140.79"/>
        <n v="642724.73"/>
        <n v="2009108.15"/>
        <n v="1036192.27"/>
        <n v="1438950.54"/>
        <n v="318461.15000000002"/>
        <n v="167769.03"/>
        <n v="918862.34"/>
        <n v="1904176.83"/>
        <n v="1426448.54"/>
        <n v="5539.5400000000081"/>
        <n v="696392.16999999993"/>
        <n v="89554.579999999987"/>
        <n v="1643914.5"/>
        <n v="1359303.82"/>
        <n v="1996331.03"/>
        <n v="355220.47999999998"/>
        <n v="1631486.44"/>
        <n v="108426.39"/>
        <n v="641168.51"/>
        <n v="1859589.9"/>
        <n v="639598.09000000008"/>
        <n v="1595355.14"/>
        <n v="404938.51"/>
        <n v="1215289.54"/>
        <n v="1958117.95"/>
        <n v="1896528.53"/>
        <n v="1284513.78"/>
        <n v="1081271.3899999999"/>
        <n v="1345738.11"/>
        <n v="821237.76000000001"/>
        <n v="896946.19"/>
        <n v="1132144.31"/>
        <n v="1179384.8799999999"/>
        <n v="1802050.86"/>
        <n v="1521144.43"/>
        <n v="772198.29"/>
        <n v="943250.81"/>
        <n v="1430531.1"/>
        <n v="1214932.99"/>
        <n v="341311.75"/>
        <n v="343750.94"/>
        <n v="1594009.73"/>
        <n v="770321.19000000006"/>
        <n v="1028818.01"/>
        <n v="370202.29"/>
        <n v="1226681.8400000001"/>
        <n v="932608.28"/>
        <n v="1563610.66"/>
        <n v="1697109.27"/>
        <n v="1211040.1100000001"/>
        <n v="523219.45"/>
        <n v="559077.69999999995"/>
        <n v="1563217.64"/>
        <n v="1196217.07"/>
        <n v="2009292.64"/>
        <n v="1137529.71"/>
        <n v="564240.30999999994"/>
        <n v="1654884.72"/>
        <n v="812688.42"/>
        <n v="957657.80999999994"/>
        <n v="2031243.6"/>
        <n v="455920.87"/>
        <n v="1597588.23"/>
        <n v="1385627.33"/>
        <n v="563593.56000000006"/>
        <n v="1065625.76"/>
        <n v="254646.03"/>
        <n v="913093.72"/>
        <n v="192599.89"/>
        <n v="972098.69"/>
        <n v="562280.92000000004"/>
        <n v="827374.07999999996"/>
        <n v="1330535.8400000001"/>
        <n v="557423.14"/>
        <n v="1490511.61"/>
        <n v="2094313.48"/>
        <n v="1178451.6100000001"/>
        <n v="379125.15"/>
        <n v="1566981.75"/>
        <n v="1689624.8"/>
        <n v="1799671.19"/>
        <n v="1505998.48"/>
        <n v="2102641.09"/>
        <n v="1410079.97"/>
        <n v="846851.16"/>
        <n v="338089.14"/>
        <n v="1261486.8600000001"/>
        <n v="2008641.96"/>
        <n v="1298379.1299999999"/>
        <n v="2006752.03"/>
        <n v="1761796.83"/>
        <n v="1696282.05"/>
        <n v="1869459.68"/>
        <n v="445276.17"/>
        <n v="946157.45"/>
        <n v="536984.80000000005"/>
        <n v="2062458.03"/>
        <n v="718722.06"/>
        <n v="830174.30999999994"/>
        <n v="1043689.06"/>
        <n v="821912.01"/>
        <n v="1860252.84"/>
        <n v="305126.23"/>
        <n v="1580999.81"/>
        <n v="527727.55000000005"/>
        <n v="1057833.83"/>
        <n v="1260667.3500000001"/>
        <n v="460516.67"/>
        <n v="2062704.01"/>
        <n v="1212113.4099999999"/>
        <n v="233863.72"/>
        <n v="1697759.69"/>
        <n v="1801082.85"/>
        <n v="592520.64"/>
        <n v="1149629.3799999999"/>
        <n v="1510625.24"/>
        <n v="1653549.79"/>
        <n v="1249983.6100000001"/>
        <n v="1182670.67"/>
        <n v="1262558.1000000001"/>
        <n v="678673.67999999993"/>
        <n v="296937.62"/>
        <n v="951673.05999999994"/>
        <n v="176477.34"/>
        <n v="1640296.82"/>
        <n v="1090544.8999999999"/>
        <n v="868277.44"/>
        <n v="1805585.1"/>
        <n v="306242.71000000002"/>
        <n v="1872659.81"/>
        <n v="2047719.1"/>
        <n v="1266418.3500000001"/>
        <n v="270187.18"/>
        <n v="1489360.81"/>
        <n v="1487795.84"/>
        <n v="1173477.6299999999"/>
        <n v="1849118.19"/>
        <n v="1715566.76"/>
        <n v="2001906.48"/>
        <n v="2177281.27"/>
        <n v="1069178.8700000001"/>
        <n v="1221978.27"/>
        <n v="1645111.59"/>
        <n v="1846449.16"/>
        <n v="426860.72"/>
        <n v="558204.13"/>
        <n v="1570752.15"/>
        <n v="481839.38"/>
        <n v="1677551.8"/>
        <n v="102204.71"/>
        <n v="1906817.37"/>
        <n v="1284948.74"/>
        <n v="1386616.39"/>
        <n v="2036998.71"/>
        <n v="333007.69"/>
        <n v="778782.49"/>
        <n v="536358.44999999995"/>
        <n v="1461132.13"/>
        <n v="275353.39"/>
        <n v="1452499.81"/>
        <n v="893133.07"/>
        <n v="1288147.47"/>
        <n v="868558.72"/>
        <n v="1843493.98"/>
        <n v="322201.67"/>
        <n v="884872.35"/>
        <n v="669999.41"/>
        <n v="1219596.98"/>
        <n v="917029.60000000009"/>
        <n v="2051395.59"/>
        <n v="1627631.54"/>
        <n v="1116498.8999999999"/>
        <n v="1652562.49"/>
        <n v="448240.99"/>
        <n v="1012522.46"/>
        <n v="1217164.3999999999"/>
      </sharedItems>
    </cacheField>
    <cacheField name="Is Fraud" numFmtId="0">
      <sharedItems count="2">
        <s v="No"/>
        <s v="Yes"/>
      </sharedItems>
    </cacheField>
    <cacheField name="month" numFmtId="0">
      <sharedItems count="12">
        <s v="Apr"/>
        <s v="Oct"/>
        <s v="Mar"/>
        <s v="Dec"/>
        <s v="Aug"/>
        <s v="Jun"/>
        <s v="May"/>
        <s v="Jul"/>
        <s v="Nov"/>
        <s v="Feb"/>
        <s v="Sep"/>
        <s v="Jan"/>
      </sharedItems>
    </cacheField>
  </cacheFields>
  <extLst>
    <ext xmlns:x14="http://schemas.microsoft.com/office/spreadsheetml/2009/9/main" uri="{725AE2AE-9491-48be-B2B4-4EB974FC3084}">
      <x14:pivotCacheDefinition pivotCacheId="3128292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n v="989374"/>
    <s v="Indali Dhingra"/>
    <n v="748642976223"/>
    <x v="0"/>
    <x v="0"/>
    <x v="0"/>
    <s v="Fixed Deposit"/>
    <x v="0"/>
    <n v="489850.94"/>
    <x v="0"/>
    <x v="0"/>
    <x v="0"/>
    <x v="0"/>
    <x v="0"/>
    <x v="0"/>
  </r>
  <r>
    <x v="1"/>
    <n v="945035"/>
    <s v="Siya Kala"/>
    <n v="163745963749"/>
    <x v="1"/>
    <x v="1"/>
    <x v="1"/>
    <s v="Recurring Deposit"/>
    <x v="0"/>
    <n v="427397.73"/>
    <x v="1"/>
    <x v="1"/>
    <x v="0"/>
    <x v="1"/>
    <x v="0"/>
    <x v="1"/>
  </r>
  <r>
    <x v="2"/>
    <n v="934360"/>
    <s v="Tejas Rajan"/>
    <n v="193406494234"/>
    <x v="2"/>
    <x v="2"/>
    <x v="2"/>
    <s v="Fixed Deposit"/>
    <x v="1"/>
    <n v="110664.95"/>
    <x v="2"/>
    <x v="2"/>
    <x v="0"/>
    <x v="2"/>
    <x v="0"/>
    <x v="2"/>
  </r>
  <r>
    <x v="3"/>
    <n v="570696"/>
    <s v="Charita Oza"/>
    <n v="170817762643"/>
    <x v="2"/>
    <x v="3"/>
    <x v="3"/>
    <s v="Recurring Deposit"/>
    <x v="0"/>
    <n v="121505.31"/>
    <x v="0"/>
    <x v="3"/>
    <x v="0"/>
    <x v="3"/>
    <x v="0"/>
    <x v="3"/>
  </r>
  <r>
    <x v="4"/>
    <n v="975319"/>
    <s v="Daksh Thaman"/>
    <n v="319075165406"/>
    <x v="0"/>
    <x v="4"/>
    <x v="4"/>
    <s v="Fixed Deposit"/>
    <x v="2"/>
    <n v="11528.19"/>
    <x v="3"/>
    <x v="4"/>
    <x v="1"/>
    <x v="4"/>
    <x v="0"/>
    <x v="4"/>
  </r>
  <r>
    <x v="5"/>
    <n v="895736"/>
    <s v="Zarna Mammen"/>
    <n v="253605159009"/>
    <x v="0"/>
    <x v="4"/>
    <x v="4"/>
    <s v="Recurring Deposit"/>
    <x v="3"/>
    <n v="458663.48"/>
    <x v="3"/>
    <x v="5"/>
    <x v="0"/>
    <x v="5"/>
    <x v="0"/>
    <x v="5"/>
  </r>
  <r>
    <x v="6"/>
    <n v="390841"/>
    <s v="Ranveer Wable"/>
    <n v="945930618441"/>
    <x v="0"/>
    <x v="5"/>
    <x v="5"/>
    <s v="Fixed Deposit"/>
    <x v="3"/>
    <n v="294460.92"/>
    <x v="2"/>
    <x v="6"/>
    <x v="0"/>
    <x v="6"/>
    <x v="0"/>
    <x v="1"/>
  </r>
  <r>
    <x v="7"/>
    <n v="538077"/>
    <s v="Janya Oommen"/>
    <n v="960946735259"/>
    <x v="2"/>
    <x v="6"/>
    <x v="6"/>
    <s v="Recurring Deposit"/>
    <x v="0"/>
    <n v="70209.02"/>
    <x v="3"/>
    <x v="7"/>
    <x v="0"/>
    <x v="7"/>
    <x v="0"/>
    <x v="6"/>
  </r>
  <r>
    <x v="8"/>
    <n v="536413"/>
    <s v="Pranav Sarraf"/>
    <n v="920065850736"/>
    <x v="3"/>
    <x v="7"/>
    <x v="7"/>
    <s v="Current"/>
    <x v="0"/>
    <n v="305297.37"/>
    <x v="1"/>
    <x v="8"/>
    <x v="0"/>
    <x v="8"/>
    <x v="0"/>
    <x v="4"/>
  </r>
  <r>
    <x v="9"/>
    <n v="706008"/>
    <s v="Arunima Andra"/>
    <n v="246399826650"/>
    <x v="0"/>
    <x v="5"/>
    <x v="5"/>
    <s v="Savings"/>
    <x v="2"/>
    <n v="79976.37"/>
    <x v="1"/>
    <x v="9"/>
    <x v="0"/>
    <x v="9"/>
    <x v="0"/>
    <x v="3"/>
  </r>
  <r>
    <x v="10"/>
    <n v="615941"/>
    <s v="Anusha Parmar"/>
    <n v="269059820502"/>
    <x v="2"/>
    <x v="8"/>
    <x v="8"/>
    <s v="Current"/>
    <x v="0"/>
    <n v="426427.56"/>
    <x v="3"/>
    <x v="10"/>
    <x v="0"/>
    <x v="10"/>
    <x v="0"/>
    <x v="7"/>
  </r>
  <r>
    <x v="11"/>
    <n v="565614"/>
    <s v="Utkarsh Narain"/>
    <n v="682739590821"/>
    <x v="2"/>
    <x v="2"/>
    <x v="2"/>
    <s v="Fixed Deposit"/>
    <x v="0"/>
    <n v="484637.66"/>
    <x v="2"/>
    <x v="11"/>
    <x v="1"/>
    <x v="11"/>
    <x v="0"/>
    <x v="7"/>
  </r>
  <r>
    <x v="12"/>
    <n v="161024"/>
    <s v="Vanya Patla"/>
    <n v="257920784326"/>
    <x v="1"/>
    <x v="9"/>
    <x v="9"/>
    <s v="Recurring Deposit"/>
    <x v="0"/>
    <n v="578105.66"/>
    <x v="1"/>
    <x v="12"/>
    <x v="0"/>
    <x v="12"/>
    <x v="0"/>
    <x v="8"/>
  </r>
  <r>
    <x v="13"/>
    <n v="915727"/>
    <s v="Ayush Bala"/>
    <n v="866173303309"/>
    <x v="3"/>
    <x v="10"/>
    <x v="10"/>
    <s v="Savings"/>
    <x v="2"/>
    <n v="285270.90000000002"/>
    <x v="0"/>
    <x v="13"/>
    <x v="0"/>
    <x v="13"/>
    <x v="0"/>
    <x v="5"/>
  </r>
  <r>
    <x v="14"/>
    <n v="330649"/>
    <s v="Nikita Kaur"/>
    <n v="725385591832"/>
    <x v="0"/>
    <x v="11"/>
    <x v="11"/>
    <s v="Current"/>
    <x v="0"/>
    <n v="419114.61"/>
    <x v="1"/>
    <x v="14"/>
    <x v="0"/>
    <x v="14"/>
    <x v="0"/>
    <x v="4"/>
  </r>
  <r>
    <x v="15"/>
    <n v="128757"/>
    <s v="Bhanumati Balakrishnan"/>
    <n v="129825978524"/>
    <x v="4"/>
    <x v="12"/>
    <x v="12"/>
    <s v="Fixed Deposit"/>
    <x v="2"/>
    <n v="179240.17"/>
    <x v="3"/>
    <x v="15"/>
    <x v="0"/>
    <x v="15"/>
    <x v="0"/>
    <x v="0"/>
  </r>
  <r>
    <x v="16"/>
    <n v="565942"/>
    <s v="Anthony Dave"/>
    <n v="154877991245"/>
    <x v="2"/>
    <x v="3"/>
    <x v="3"/>
    <s v="Recurring Deposit"/>
    <x v="3"/>
    <n v="391121.9"/>
    <x v="3"/>
    <x v="16"/>
    <x v="0"/>
    <x v="16"/>
    <x v="0"/>
    <x v="9"/>
  </r>
  <r>
    <x v="17"/>
    <n v="367162"/>
    <s v="Tanveer Kohli"/>
    <n v="246576120553"/>
    <x v="1"/>
    <x v="9"/>
    <x v="9"/>
    <s v="Fixed Deposit"/>
    <x v="2"/>
    <n v="209237.66"/>
    <x v="4"/>
    <x v="17"/>
    <x v="0"/>
    <x v="17"/>
    <x v="0"/>
    <x v="5"/>
  </r>
  <r>
    <x v="18"/>
    <n v="107172"/>
    <s v="Ekani Dara"/>
    <n v="475789086915"/>
    <x v="2"/>
    <x v="3"/>
    <x v="3"/>
    <s v="Recurring Deposit"/>
    <x v="2"/>
    <n v="208142.17"/>
    <x v="3"/>
    <x v="18"/>
    <x v="0"/>
    <x v="18"/>
    <x v="0"/>
    <x v="4"/>
  </r>
  <r>
    <x v="19"/>
    <n v="792128"/>
    <s v="Jai Tandon"/>
    <n v="421404337824"/>
    <x v="0"/>
    <x v="4"/>
    <x v="4"/>
    <s v="Recurring Deposit"/>
    <x v="1"/>
    <n v="109602.66"/>
    <x v="1"/>
    <x v="19"/>
    <x v="0"/>
    <x v="19"/>
    <x v="0"/>
    <x v="8"/>
  </r>
  <r>
    <x v="20"/>
    <n v="901380"/>
    <s v="Watika Mistry"/>
    <n v="399559926548"/>
    <x v="4"/>
    <x v="13"/>
    <x v="13"/>
    <s v="Fixed Deposit"/>
    <x v="1"/>
    <n v="88517.73"/>
    <x v="4"/>
    <x v="20"/>
    <x v="0"/>
    <x v="20"/>
    <x v="0"/>
    <x v="9"/>
  </r>
  <r>
    <x v="21"/>
    <n v="877399"/>
    <s v="Vasatika Johal"/>
    <n v="964797210985"/>
    <x v="4"/>
    <x v="14"/>
    <x v="14"/>
    <s v="Fixed Deposit"/>
    <x v="3"/>
    <n v="415314.39"/>
    <x v="4"/>
    <x v="21"/>
    <x v="0"/>
    <x v="21"/>
    <x v="0"/>
    <x v="2"/>
  </r>
  <r>
    <x v="22"/>
    <n v="268498"/>
    <s v="Anya Prabhu"/>
    <n v="371376739219"/>
    <x v="3"/>
    <x v="10"/>
    <x v="10"/>
    <s v="Fixed Deposit"/>
    <x v="3"/>
    <n v="41441.83"/>
    <x v="3"/>
    <x v="22"/>
    <x v="2"/>
    <x v="22"/>
    <x v="0"/>
    <x v="1"/>
  </r>
  <r>
    <x v="23"/>
    <n v="509182"/>
    <s v="Ekapad Gole"/>
    <n v="290112954278"/>
    <x v="3"/>
    <x v="7"/>
    <x v="7"/>
    <s v="Fixed Deposit"/>
    <x v="3"/>
    <n v="342882.13"/>
    <x v="4"/>
    <x v="23"/>
    <x v="0"/>
    <x v="23"/>
    <x v="0"/>
    <x v="3"/>
  </r>
  <r>
    <x v="24"/>
    <n v="298244"/>
    <s v="Sudiksha Chawla"/>
    <n v="977958651702"/>
    <x v="1"/>
    <x v="9"/>
    <x v="9"/>
    <s v="Current"/>
    <x v="3"/>
    <n v="271432.19"/>
    <x v="2"/>
    <x v="24"/>
    <x v="0"/>
    <x v="24"/>
    <x v="0"/>
    <x v="1"/>
  </r>
  <r>
    <x v="25"/>
    <n v="564685"/>
    <s v="Varsha Mann"/>
    <n v="381970890311"/>
    <x v="3"/>
    <x v="10"/>
    <x v="10"/>
    <s v="Current"/>
    <x v="3"/>
    <n v="253021.62"/>
    <x v="3"/>
    <x v="25"/>
    <x v="0"/>
    <x v="25"/>
    <x v="0"/>
    <x v="0"/>
  </r>
  <r>
    <x v="26"/>
    <n v="772989"/>
    <s v="Theodore Chandran"/>
    <n v="753553434809"/>
    <x v="0"/>
    <x v="11"/>
    <x v="11"/>
    <s v="Current"/>
    <x v="1"/>
    <n v="20332.900000000001"/>
    <x v="3"/>
    <x v="26"/>
    <x v="0"/>
    <x v="26"/>
    <x v="0"/>
    <x v="7"/>
  </r>
  <r>
    <x v="27"/>
    <n v="516447"/>
    <s v="Edhitha Bhardwaj"/>
    <n v="173872984561"/>
    <x v="1"/>
    <x v="1"/>
    <x v="1"/>
    <s v="Current"/>
    <x v="1"/>
    <n v="108072.78"/>
    <x v="0"/>
    <x v="27"/>
    <x v="1"/>
    <x v="27"/>
    <x v="0"/>
    <x v="5"/>
  </r>
  <r>
    <x v="28"/>
    <n v="171990"/>
    <s v="Chandresh Patel"/>
    <n v="427472926649"/>
    <x v="0"/>
    <x v="11"/>
    <x v="11"/>
    <s v="Current"/>
    <x v="2"/>
    <n v="248672.35"/>
    <x v="2"/>
    <x v="28"/>
    <x v="0"/>
    <x v="28"/>
    <x v="0"/>
    <x v="4"/>
  </r>
  <r>
    <x v="29"/>
    <n v="217181"/>
    <s v="Janani Muni"/>
    <n v="336318549444"/>
    <x v="4"/>
    <x v="14"/>
    <x v="14"/>
    <s v="Fixed Deposit"/>
    <x v="1"/>
    <n v="29516.09"/>
    <x v="4"/>
    <x v="29"/>
    <x v="0"/>
    <x v="29"/>
    <x v="0"/>
    <x v="1"/>
  </r>
  <r>
    <x v="30"/>
    <n v="853995"/>
    <s v="Shivansh Prabhu"/>
    <n v="564485035229"/>
    <x v="4"/>
    <x v="15"/>
    <x v="15"/>
    <s v="Current"/>
    <x v="0"/>
    <n v="285994.06"/>
    <x v="2"/>
    <x v="30"/>
    <x v="0"/>
    <x v="30"/>
    <x v="0"/>
    <x v="6"/>
  </r>
  <r>
    <x v="31"/>
    <n v="433879"/>
    <s v="Aditya Prakash"/>
    <n v="201493145216"/>
    <x v="4"/>
    <x v="12"/>
    <x v="12"/>
    <s v="Savings"/>
    <x v="0"/>
    <n v="374242.97"/>
    <x v="2"/>
    <x v="31"/>
    <x v="0"/>
    <x v="31"/>
    <x v="0"/>
    <x v="7"/>
  </r>
  <r>
    <x v="32"/>
    <n v="651973"/>
    <s v="Ganga Contractor"/>
    <n v="560621316956"/>
    <x v="2"/>
    <x v="16"/>
    <x v="16"/>
    <s v="Recurring Deposit"/>
    <x v="0"/>
    <n v="148852.68"/>
    <x v="2"/>
    <x v="32"/>
    <x v="0"/>
    <x v="32"/>
    <x v="0"/>
    <x v="6"/>
  </r>
  <r>
    <x v="33"/>
    <n v="743304"/>
    <s v="Rushil Sachdeva"/>
    <n v="213916121897"/>
    <x v="3"/>
    <x v="7"/>
    <x v="7"/>
    <s v="Current"/>
    <x v="3"/>
    <n v="101567.88"/>
    <x v="3"/>
    <x v="33"/>
    <x v="0"/>
    <x v="33"/>
    <x v="0"/>
    <x v="2"/>
  </r>
  <r>
    <x v="34"/>
    <n v="433578"/>
    <s v="Warinder Dada"/>
    <n v="524724150945"/>
    <x v="0"/>
    <x v="0"/>
    <x v="0"/>
    <s v="Fixed Deposit"/>
    <x v="2"/>
    <n v="229408.77"/>
    <x v="0"/>
    <x v="34"/>
    <x v="0"/>
    <x v="34"/>
    <x v="0"/>
    <x v="9"/>
  </r>
  <r>
    <x v="35"/>
    <n v="335618"/>
    <s v="Ekalinga Divan"/>
    <n v="978676125504"/>
    <x v="4"/>
    <x v="13"/>
    <x v="13"/>
    <s v="Current"/>
    <x v="0"/>
    <n v="66704.02"/>
    <x v="1"/>
    <x v="35"/>
    <x v="0"/>
    <x v="35"/>
    <x v="0"/>
    <x v="8"/>
  </r>
  <r>
    <x v="36"/>
    <n v="134765"/>
    <s v="Aachal Acharya"/>
    <n v="580776402182"/>
    <x v="3"/>
    <x v="17"/>
    <x v="17"/>
    <s v="Current"/>
    <x v="2"/>
    <n v="36992.14"/>
    <x v="3"/>
    <x v="36"/>
    <x v="0"/>
    <x v="36"/>
    <x v="0"/>
    <x v="1"/>
  </r>
  <r>
    <x v="37"/>
    <n v="837453"/>
    <s v="Meera Oza"/>
    <n v="192276969734"/>
    <x v="1"/>
    <x v="18"/>
    <x v="18"/>
    <s v="Fixed Deposit"/>
    <x v="3"/>
    <n v="122297.94"/>
    <x v="4"/>
    <x v="37"/>
    <x v="0"/>
    <x v="37"/>
    <x v="0"/>
    <x v="9"/>
  </r>
  <r>
    <x v="38"/>
    <n v="212429"/>
    <s v="Reyansh Chauhan"/>
    <n v="788289851630"/>
    <x v="4"/>
    <x v="12"/>
    <x v="12"/>
    <s v="Fixed Deposit"/>
    <x v="2"/>
    <n v="270490.09999999998"/>
    <x v="2"/>
    <x v="38"/>
    <x v="0"/>
    <x v="38"/>
    <x v="0"/>
    <x v="1"/>
  </r>
  <r>
    <x v="39"/>
    <n v="652501"/>
    <s v="Dayita Das"/>
    <n v="792670907549"/>
    <x v="0"/>
    <x v="19"/>
    <x v="19"/>
    <s v="Current"/>
    <x v="0"/>
    <n v="51847.92"/>
    <x v="0"/>
    <x v="39"/>
    <x v="0"/>
    <x v="39"/>
    <x v="0"/>
    <x v="10"/>
  </r>
  <r>
    <x v="40"/>
    <n v="223517"/>
    <s v="Anthony Comar"/>
    <n v="709411524006"/>
    <x v="4"/>
    <x v="12"/>
    <x v="12"/>
    <s v="Current"/>
    <x v="2"/>
    <n v="134957.76999999999"/>
    <x v="2"/>
    <x v="40"/>
    <x v="0"/>
    <x v="40"/>
    <x v="0"/>
    <x v="10"/>
  </r>
  <r>
    <x v="41"/>
    <n v="875642"/>
    <s v="Upkaar Goyal"/>
    <n v="397885804569"/>
    <x v="4"/>
    <x v="20"/>
    <x v="20"/>
    <s v="Recurring Deposit"/>
    <x v="1"/>
    <n v="58285.919999999998"/>
    <x v="3"/>
    <x v="41"/>
    <x v="0"/>
    <x v="41"/>
    <x v="0"/>
    <x v="3"/>
  </r>
  <r>
    <x v="42"/>
    <n v="634610"/>
    <s v="Barkha Ahluwalia"/>
    <n v="707104940908"/>
    <x v="3"/>
    <x v="21"/>
    <x v="21"/>
    <s v="Current"/>
    <x v="1"/>
    <n v="143215.06"/>
    <x v="0"/>
    <x v="42"/>
    <x v="3"/>
    <x v="42"/>
    <x v="0"/>
    <x v="7"/>
  </r>
  <r>
    <x v="43"/>
    <n v="378722"/>
    <s v="Zehaan Wali"/>
    <n v="327507559769"/>
    <x v="2"/>
    <x v="2"/>
    <x v="2"/>
    <s v="Savings"/>
    <x v="1"/>
    <n v="53733.54"/>
    <x v="3"/>
    <x v="43"/>
    <x v="0"/>
    <x v="43"/>
    <x v="0"/>
    <x v="6"/>
  </r>
  <r>
    <x v="44"/>
    <n v="870934"/>
    <s v="Priya Kuruvilla"/>
    <n v="982037976790"/>
    <x v="4"/>
    <x v="14"/>
    <x v="14"/>
    <s v="Fixed Deposit"/>
    <x v="0"/>
    <n v="334428.89"/>
    <x v="1"/>
    <x v="44"/>
    <x v="0"/>
    <x v="44"/>
    <x v="0"/>
    <x v="4"/>
  </r>
  <r>
    <x v="45"/>
    <n v="545234"/>
    <s v="Chandani Walia"/>
    <n v="702697254640"/>
    <x v="3"/>
    <x v="21"/>
    <x v="21"/>
    <s v="Recurring Deposit"/>
    <x v="0"/>
    <n v="239589.03"/>
    <x v="3"/>
    <x v="45"/>
    <x v="0"/>
    <x v="45"/>
    <x v="0"/>
    <x v="10"/>
  </r>
  <r>
    <x v="46"/>
    <n v="282725"/>
    <s v="Jack Sridhar"/>
    <n v="590927660148"/>
    <x v="3"/>
    <x v="22"/>
    <x v="22"/>
    <s v="Fixed Deposit"/>
    <x v="3"/>
    <n v="228752.03"/>
    <x v="1"/>
    <x v="46"/>
    <x v="0"/>
    <x v="46"/>
    <x v="1"/>
    <x v="9"/>
  </r>
  <r>
    <x v="47"/>
    <n v="798832"/>
    <s v="Advik Natt"/>
    <n v="366996690919"/>
    <x v="3"/>
    <x v="7"/>
    <x v="7"/>
    <s v="Fixed Deposit"/>
    <x v="3"/>
    <n v="228603.21"/>
    <x v="1"/>
    <x v="31"/>
    <x v="0"/>
    <x v="47"/>
    <x v="0"/>
    <x v="7"/>
  </r>
  <r>
    <x v="48"/>
    <n v="693194"/>
    <s v="David Dhaliwal"/>
    <n v="715222997316"/>
    <x v="1"/>
    <x v="9"/>
    <x v="9"/>
    <s v="Recurring Deposit"/>
    <x v="3"/>
    <n v="241180.65"/>
    <x v="1"/>
    <x v="47"/>
    <x v="0"/>
    <x v="48"/>
    <x v="0"/>
    <x v="8"/>
  </r>
  <r>
    <x v="49"/>
    <n v="178161"/>
    <s v="Vritti Arora"/>
    <n v="850425096741"/>
    <x v="0"/>
    <x v="5"/>
    <x v="5"/>
    <s v="Savings"/>
    <x v="3"/>
    <n v="181478.37"/>
    <x v="0"/>
    <x v="48"/>
    <x v="0"/>
    <x v="49"/>
    <x v="0"/>
    <x v="8"/>
  </r>
  <r>
    <x v="50"/>
    <n v="945986"/>
    <s v="Bahadurjit Banerjee"/>
    <n v="316273586448"/>
    <x v="3"/>
    <x v="7"/>
    <x v="7"/>
    <s v="Current"/>
    <x v="2"/>
    <n v="273414.65999999997"/>
    <x v="1"/>
    <x v="49"/>
    <x v="3"/>
    <x v="50"/>
    <x v="0"/>
    <x v="9"/>
  </r>
  <r>
    <x v="51"/>
    <n v="969262"/>
    <s v="Kamala Dhaliwal"/>
    <n v="593004841860"/>
    <x v="0"/>
    <x v="5"/>
    <x v="5"/>
    <s v="Savings"/>
    <x v="1"/>
    <n v="17312.52"/>
    <x v="0"/>
    <x v="50"/>
    <x v="0"/>
    <x v="51"/>
    <x v="1"/>
    <x v="6"/>
  </r>
  <r>
    <x v="52"/>
    <n v="624419"/>
    <s v="Jagrati Bhattacharyya"/>
    <n v="315927510709"/>
    <x v="1"/>
    <x v="23"/>
    <x v="23"/>
    <s v="Fixed Deposit"/>
    <x v="0"/>
    <n v="320272.01"/>
    <x v="0"/>
    <x v="51"/>
    <x v="0"/>
    <x v="52"/>
    <x v="0"/>
    <x v="4"/>
  </r>
  <r>
    <x v="53"/>
    <n v="690301"/>
    <s v="Hritik Contractor"/>
    <n v="726575855284"/>
    <x v="1"/>
    <x v="9"/>
    <x v="9"/>
    <s v="Recurring Deposit"/>
    <x v="3"/>
    <n v="72231.47"/>
    <x v="3"/>
    <x v="52"/>
    <x v="0"/>
    <x v="53"/>
    <x v="0"/>
    <x v="7"/>
  </r>
  <r>
    <x v="54"/>
    <n v="247721"/>
    <s v="Alka Rao"/>
    <n v="388988910146"/>
    <x v="2"/>
    <x v="8"/>
    <x v="8"/>
    <s v="Fixed Deposit"/>
    <x v="1"/>
    <n v="27223.82"/>
    <x v="1"/>
    <x v="53"/>
    <x v="0"/>
    <x v="54"/>
    <x v="0"/>
    <x v="1"/>
  </r>
  <r>
    <x v="55"/>
    <n v="752827"/>
    <s v="Aadhya Naidu"/>
    <n v="755637196899"/>
    <x v="0"/>
    <x v="4"/>
    <x v="4"/>
    <s v="Fixed Deposit"/>
    <x v="1"/>
    <n v="94133.21"/>
    <x v="0"/>
    <x v="54"/>
    <x v="1"/>
    <x v="55"/>
    <x v="0"/>
    <x v="6"/>
  </r>
  <r>
    <x v="56"/>
    <n v="407754"/>
    <s v="Ekalinga Master"/>
    <n v="170246566065"/>
    <x v="3"/>
    <x v="22"/>
    <x v="22"/>
    <s v="Current"/>
    <x v="3"/>
    <n v="176352.05"/>
    <x v="1"/>
    <x v="55"/>
    <x v="0"/>
    <x v="56"/>
    <x v="0"/>
    <x v="11"/>
  </r>
  <r>
    <x v="57"/>
    <n v="567798"/>
    <s v="Aishani Sachdev"/>
    <n v="582149472587"/>
    <x v="2"/>
    <x v="8"/>
    <x v="8"/>
    <s v="Current"/>
    <x v="2"/>
    <n v="125796.18"/>
    <x v="3"/>
    <x v="56"/>
    <x v="3"/>
    <x v="57"/>
    <x v="0"/>
    <x v="4"/>
  </r>
  <r>
    <x v="58"/>
    <n v="552695"/>
    <s v="Gopal Jaggi"/>
    <n v="604716561890"/>
    <x v="0"/>
    <x v="19"/>
    <x v="19"/>
    <s v="Savings"/>
    <x v="3"/>
    <n v="450326.06"/>
    <x v="4"/>
    <x v="23"/>
    <x v="0"/>
    <x v="58"/>
    <x v="0"/>
    <x v="3"/>
  </r>
  <r>
    <x v="59"/>
    <n v="683741"/>
    <s v="Manbir Golla"/>
    <n v="930540134859"/>
    <x v="1"/>
    <x v="23"/>
    <x v="23"/>
    <s v="Savings"/>
    <x v="0"/>
    <n v="511661.67"/>
    <x v="1"/>
    <x v="57"/>
    <x v="0"/>
    <x v="59"/>
    <x v="0"/>
    <x v="6"/>
  </r>
  <r>
    <x v="60"/>
    <n v="553618"/>
    <s v="Pooja Banerjee"/>
    <n v="667033396764"/>
    <x v="0"/>
    <x v="5"/>
    <x v="5"/>
    <s v="Fixed Deposit"/>
    <x v="3"/>
    <n v="188748.49"/>
    <x v="1"/>
    <x v="58"/>
    <x v="0"/>
    <x v="60"/>
    <x v="0"/>
    <x v="9"/>
  </r>
  <r>
    <x v="61"/>
    <n v="883947"/>
    <s v="Unnati Seth"/>
    <n v="261079556384"/>
    <x v="3"/>
    <x v="22"/>
    <x v="22"/>
    <s v="Recurring Deposit"/>
    <x v="3"/>
    <n v="336060.86"/>
    <x v="3"/>
    <x v="59"/>
    <x v="0"/>
    <x v="61"/>
    <x v="0"/>
    <x v="1"/>
  </r>
  <r>
    <x v="62"/>
    <n v="561029"/>
    <s v="Vihaan Chowdhury"/>
    <n v="160461931506"/>
    <x v="3"/>
    <x v="7"/>
    <x v="7"/>
    <s v="Recurring Deposit"/>
    <x v="1"/>
    <n v="62046.95"/>
    <x v="4"/>
    <x v="60"/>
    <x v="3"/>
    <x v="62"/>
    <x v="0"/>
    <x v="11"/>
  </r>
  <r>
    <x v="63"/>
    <n v="123451"/>
    <s v="Yashoda Choudhury"/>
    <n v="775194651628"/>
    <x v="1"/>
    <x v="24"/>
    <x v="24"/>
    <s v="Current"/>
    <x v="2"/>
    <n v="186460.63"/>
    <x v="2"/>
    <x v="61"/>
    <x v="2"/>
    <x v="63"/>
    <x v="0"/>
    <x v="2"/>
  </r>
  <r>
    <x v="64"/>
    <n v="932665"/>
    <s v="Rishi Desai"/>
    <n v="684612790738"/>
    <x v="1"/>
    <x v="24"/>
    <x v="24"/>
    <s v="Fixed Deposit"/>
    <x v="2"/>
    <n v="10454.32"/>
    <x v="4"/>
    <x v="62"/>
    <x v="0"/>
    <x v="64"/>
    <x v="0"/>
    <x v="7"/>
  </r>
  <r>
    <x v="65"/>
    <n v="105013"/>
    <s v="Garima Ray"/>
    <n v="244696373610"/>
    <x v="3"/>
    <x v="17"/>
    <x v="17"/>
    <s v="Recurring Deposit"/>
    <x v="3"/>
    <n v="207043.55"/>
    <x v="3"/>
    <x v="63"/>
    <x v="0"/>
    <x v="65"/>
    <x v="0"/>
    <x v="1"/>
  </r>
  <r>
    <x v="66"/>
    <n v="876150"/>
    <s v="Mitali Nigam"/>
    <n v="232180677568"/>
    <x v="3"/>
    <x v="17"/>
    <x v="17"/>
    <s v="Recurring Deposit"/>
    <x v="2"/>
    <n v="2685.68"/>
    <x v="4"/>
    <x v="64"/>
    <x v="0"/>
    <x v="66"/>
    <x v="0"/>
    <x v="3"/>
  </r>
  <r>
    <x v="67"/>
    <n v="897276"/>
    <s v="Rachana Bansal"/>
    <n v="189711713821"/>
    <x v="0"/>
    <x v="0"/>
    <x v="0"/>
    <s v="Recurring Deposit"/>
    <x v="1"/>
    <n v="86872.7"/>
    <x v="0"/>
    <x v="65"/>
    <x v="0"/>
    <x v="67"/>
    <x v="0"/>
    <x v="3"/>
  </r>
  <r>
    <x v="68"/>
    <n v="817632"/>
    <s v="Matthew Ramachandran"/>
    <n v="414860744072"/>
    <x v="4"/>
    <x v="20"/>
    <x v="20"/>
    <s v="Recurring Deposit"/>
    <x v="2"/>
    <n v="254430.23"/>
    <x v="2"/>
    <x v="66"/>
    <x v="3"/>
    <x v="68"/>
    <x v="0"/>
    <x v="3"/>
  </r>
  <r>
    <x v="69"/>
    <n v="910508"/>
    <s v="Leela Ramachandran"/>
    <n v="726091926541"/>
    <x v="1"/>
    <x v="9"/>
    <x v="9"/>
    <s v="Current"/>
    <x v="1"/>
    <n v="2142.71"/>
    <x v="0"/>
    <x v="5"/>
    <x v="0"/>
    <x v="69"/>
    <x v="0"/>
    <x v="5"/>
  </r>
  <r>
    <x v="70"/>
    <n v="651220"/>
    <s v="Jonathan Taneja"/>
    <n v="260561696809"/>
    <x v="1"/>
    <x v="1"/>
    <x v="1"/>
    <s v="Current"/>
    <x v="1"/>
    <n v="126982.03"/>
    <x v="4"/>
    <x v="67"/>
    <x v="0"/>
    <x v="70"/>
    <x v="0"/>
    <x v="9"/>
  </r>
  <r>
    <x v="71"/>
    <n v="820049"/>
    <s v="Hema Savant"/>
    <n v="939671397979"/>
    <x v="2"/>
    <x v="16"/>
    <x v="16"/>
    <s v="Current"/>
    <x v="3"/>
    <n v="42148.13"/>
    <x v="3"/>
    <x v="68"/>
    <x v="0"/>
    <x v="71"/>
    <x v="0"/>
    <x v="8"/>
  </r>
  <r>
    <x v="72"/>
    <n v="679021"/>
    <s v="Laksh Naik"/>
    <n v="721091509137"/>
    <x v="2"/>
    <x v="8"/>
    <x v="8"/>
    <s v="Fixed Deposit"/>
    <x v="3"/>
    <n v="394326.09"/>
    <x v="0"/>
    <x v="69"/>
    <x v="0"/>
    <x v="72"/>
    <x v="0"/>
    <x v="1"/>
  </r>
  <r>
    <x v="73"/>
    <n v="256851"/>
    <s v="Ati Kalita"/>
    <n v="174251495558"/>
    <x v="4"/>
    <x v="15"/>
    <x v="15"/>
    <s v="Savings"/>
    <x v="1"/>
    <n v="111775.28"/>
    <x v="4"/>
    <x v="70"/>
    <x v="3"/>
    <x v="73"/>
    <x v="0"/>
    <x v="4"/>
  </r>
  <r>
    <x v="74"/>
    <n v="761621"/>
    <s v="Warda Jayaraman"/>
    <n v="335715085702"/>
    <x v="2"/>
    <x v="6"/>
    <x v="6"/>
    <s v="Current"/>
    <x v="2"/>
    <n v="108963.54"/>
    <x v="1"/>
    <x v="71"/>
    <x v="0"/>
    <x v="74"/>
    <x v="0"/>
    <x v="0"/>
  </r>
  <r>
    <x v="75"/>
    <n v="615769"/>
    <s v="Mekhala Sandhu"/>
    <n v="407129016960"/>
    <x v="4"/>
    <x v="20"/>
    <x v="20"/>
    <s v="Recurring Deposit"/>
    <x v="3"/>
    <n v="5467.69"/>
    <x v="2"/>
    <x v="56"/>
    <x v="0"/>
    <x v="75"/>
    <x v="0"/>
    <x v="4"/>
  </r>
  <r>
    <x v="76"/>
    <n v="964477"/>
    <s v="Ucchal Deep"/>
    <n v="273078175564"/>
    <x v="3"/>
    <x v="17"/>
    <x v="17"/>
    <s v="Current"/>
    <x v="2"/>
    <n v="77594.36"/>
    <x v="0"/>
    <x v="72"/>
    <x v="0"/>
    <x v="76"/>
    <x v="0"/>
    <x v="10"/>
  </r>
  <r>
    <x v="77"/>
    <n v="619316"/>
    <s v="Vinaya Singhal"/>
    <n v="921865469550"/>
    <x v="0"/>
    <x v="0"/>
    <x v="0"/>
    <s v="Savings"/>
    <x v="1"/>
    <n v="130332.95"/>
    <x v="4"/>
    <x v="73"/>
    <x v="0"/>
    <x v="77"/>
    <x v="0"/>
    <x v="8"/>
  </r>
  <r>
    <x v="78"/>
    <n v="258410"/>
    <s v="Isaac Sandal"/>
    <n v="668697508911"/>
    <x v="0"/>
    <x v="11"/>
    <x v="11"/>
    <s v="Recurring Deposit"/>
    <x v="3"/>
    <n v="431597.82"/>
    <x v="0"/>
    <x v="74"/>
    <x v="0"/>
    <x v="78"/>
    <x v="0"/>
    <x v="3"/>
  </r>
  <r>
    <x v="79"/>
    <n v="683367"/>
    <s v="Fitan Memon"/>
    <n v="982009733970"/>
    <x v="4"/>
    <x v="15"/>
    <x v="15"/>
    <s v="Recurring Deposit"/>
    <x v="0"/>
    <n v="329340.40999999997"/>
    <x v="1"/>
    <x v="75"/>
    <x v="0"/>
    <x v="79"/>
    <x v="0"/>
    <x v="8"/>
  </r>
  <r>
    <x v="80"/>
    <n v="685188"/>
    <s v="Mason Contractor"/>
    <n v="440841637325"/>
    <x v="4"/>
    <x v="14"/>
    <x v="14"/>
    <s v="Recurring Deposit"/>
    <x v="2"/>
    <n v="230671.33"/>
    <x v="4"/>
    <x v="76"/>
    <x v="0"/>
    <x v="80"/>
    <x v="0"/>
    <x v="2"/>
  </r>
  <r>
    <x v="81"/>
    <n v="861387"/>
    <s v="Kritika Wason"/>
    <n v="206376466987"/>
    <x v="2"/>
    <x v="8"/>
    <x v="8"/>
    <s v="Current"/>
    <x v="2"/>
    <n v="151847.43"/>
    <x v="4"/>
    <x v="77"/>
    <x v="2"/>
    <x v="81"/>
    <x v="0"/>
    <x v="0"/>
  </r>
  <r>
    <x v="82"/>
    <n v="294793"/>
    <s v="Aahana Chahal"/>
    <n v="396259742856"/>
    <x v="3"/>
    <x v="17"/>
    <x v="17"/>
    <s v="Fixed Deposit"/>
    <x v="2"/>
    <n v="43912.42"/>
    <x v="0"/>
    <x v="78"/>
    <x v="0"/>
    <x v="82"/>
    <x v="0"/>
    <x v="0"/>
  </r>
  <r>
    <x v="83"/>
    <n v="163591"/>
    <s v="Vansha Rai"/>
    <n v="643282698177"/>
    <x v="3"/>
    <x v="22"/>
    <x v="22"/>
    <s v="Fixed Deposit"/>
    <x v="2"/>
    <n v="259387.62"/>
    <x v="2"/>
    <x v="79"/>
    <x v="0"/>
    <x v="83"/>
    <x v="0"/>
    <x v="3"/>
  </r>
  <r>
    <x v="84"/>
    <n v="999369"/>
    <s v="Isaac Peri"/>
    <n v="693909368952"/>
    <x v="2"/>
    <x v="8"/>
    <x v="8"/>
    <s v="Current"/>
    <x v="1"/>
    <n v="113984.02"/>
    <x v="3"/>
    <x v="80"/>
    <x v="0"/>
    <x v="84"/>
    <x v="1"/>
    <x v="1"/>
  </r>
  <r>
    <x v="85"/>
    <n v="436075"/>
    <s v="Arin Chandra"/>
    <n v="405209357833"/>
    <x v="1"/>
    <x v="1"/>
    <x v="1"/>
    <s v="Recurring Deposit"/>
    <x v="3"/>
    <n v="25673.64"/>
    <x v="2"/>
    <x v="62"/>
    <x v="0"/>
    <x v="85"/>
    <x v="0"/>
    <x v="7"/>
  </r>
  <r>
    <x v="86"/>
    <n v="246445"/>
    <s v="Veda Dube"/>
    <n v="626901044244"/>
    <x v="2"/>
    <x v="2"/>
    <x v="2"/>
    <s v="Current"/>
    <x v="3"/>
    <n v="373738.22"/>
    <x v="0"/>
    <x v="81"/>
    <x v="0"/>
    <x v="86"/>
    <x v="0"/>
    <x v="0"/>
  </r>
  <r>
    <x v="87"/>
    <n v="649852"/>
    <s v="Rudra Wason"/>
    <n v="360164842230"/>
    <x v="1"/>
    <x v="18"/>
    <x v="18"/>
    <s v="Savings"/>
    <x v="3"/>
    <n v="135613.45000000001"/>
    <x v="3"/>
    <x v="82"/>
    <x v="0"/>
    <x v="87"/>
    <x v="0"/>
    <x v="9"/>
  </r>
  <r>
    <x v="88"/>
    <n v="846632"/>
    <s v="Yauvani Rama"/>
    <n v="791650643766"/>
    <x v="2"/>
    <x v="16"/>
    <x v="16"/>
    <s v="Recurring Deposit"/>
    <x v="1"/>
    <n v="135727.92000000001"/>
    <x v="0"/>
    <x v="31"/>
    <x v="0"/>
    <x v="88"/>
    <x v="0"/>
    <x v="7"/>
  </r>
  <r>
    <x v="89"/>
    <n v="426604"/>
    <s v="Vritti Sabharwal"/>
    <n v="694508992835"/>
    <x v="1"/>
    <x v="1"/>
    <x v="1"/>
    <s v="Fixed Deposit"/>
    <x v="0"/>
    <n v="181205.51"/>
    <x v="4"/>
    <x v="83"/>
    <x v="0"/>
    <x v="89"/>
    <x v="0"/>
    <x v="6"/>
  </r>
  <r>
    <x v="90"/>
    <n v="944525"/>
    <s v="Widisha Singhal"/>
    <n v="109856223455"/>
    <x v="3"/>
    <x v="17"/>
    <x v="17"/>
    <s v="Fixed Deposit"/>
    <x v="2"/>
    <n v="181990.14"/>
    <x v="1"/>
    <x v="39"/>
    <x v="0"/>
    <x v="90"/>
    <x v="0"/>
    <x v="10"/>
  </r>
  <r>
    <x v="91"/>
    <n v="592501"/>
    <s v="Jagvi Balay"/>
    <n v="699404858667"/>
    <x v="1"/>
    <x v="18"/>
    <x v="18"/>
    <s v="Current"/>
    <x v="2"/>
    <n v="156947.67000000001"/>
    <x v="4"/>
    <x v="5"/>
    <x v="0"/>
    <x v="91"/>
    <x v="0"/>
    <x v="5"/>
  </r>
  <r>
    <x v="92"/>
    <n v="768984"/>
    <s v="Jagdish Sagar"/>
    <n v="208342410757"/>
    <x v="2"/>
    <x v="8"/>
    <x v="8"/>
    <s v="Recurring Deposit"/>
    <x v="2"/>
    <n v="229674.46"/>
    <x v="4"/>
    <x v="84"/>
    <x v="0"/>
    <x v="92"/>
    <x v="0"/>
    <x v="9"/>
  </r>
  <r>
    <x v="93"/>
    <n v="531859"/>
    <s v="Orinder Mahajan"/>
    <n v="640702669526"/>
    <x v="3"/>
    <x v="22"/>
    <x v="22"/>
    <s v="Savings"/>
    <x v="2"/>
    <n v="190072.68"/>
    <x v="2"/>
    <x v="15"/>
    <x v="0"/>
    <x v="93"/>
    <x v="0"/>
    <x v="0"/>
  </r>
  <r>
    <x v="94"/>
    <n v="405881"/>
    <s v="Tripti Chandran"/>
    <n v="976230686799"/>
    <x v="3"/>
    <x v="7"/>
    <x v="7"/>
    <s v="Recurring Deposit"/>
    <x v="1"/>
    <n v="93038.6"/>
    <x v="4"/>
    <x v="85"/>
    <x v="0"/>
    <x v="94"/>
    <x v="0"/>
    <x v="11"/>
  </r>
  <r>
    <x v="95"/>
    <n v="286469"/>
    <s v="Chandani Mammen"/>
    <n v="605825525973"/>
    <x v="1"/>
    <x v="24"/>
    <x v="24"/>
    <s v="Recurring Deposit"/>
    <x v="1"/>
    <n v="111276.4"/>
    <x v="0"/>
    <x v="86"/>
    <x v="0"/>
    <x v="95"/>
    <x v="0"/>
    <x v="11"/>
  </r>
  <r>
    <x v="96"/>
    <n v="182726"/>
    <s v="Wakeeta Sandhu"/>
    <n v="915362443565"/>
    <x v="2"/>
    <x v="2"/>
    <x v="2"/>
    <s v="Current"/>
    <x v="2"/>
    <n v="191244.09"/>
    <x v="4"/>
    <x v="87"/>
    <x v="0"/>
    <x v="96"/>
    <x v="0"/>
    <x v="8"/>
  </r>
  <r>
    <x v="97"/>
    <n v="584031"/>
    <s v="Brinda Minhas"/>
    <n v="858729220350"/>
    <x v="0"/>
    <x v="4"/>
    <x v="4"/>
    <s v="Recurring Deposit"/>
    <x v="0"/>
    <n v="238817.39"/>
    <x v="2"/>
    <x v="88"/>
    <x v="0"/>
    <x v="97"/>
    <x v="1"/>
    <x v="1"/>
  </r>
  <r>
    <x v="98"/>
    <n v="518914"/>
    <s v="Upasna Wadhwa"/>
    <n v="741907644425"/>
    <x v="4"/>
    <x v="15"/>
    <x v="15"/>
    <s v="Savings"/>
    <x v="3"/>
    <n v="212352.26"/>
    <x v="3"/>
    <x v="27"/>
    <x v="0"/>
    <x v="98"/>
    <x v="0"/>
    <x v="5"/>
  </r>
  <r>
    <x v="99"/>
    <n v="737238"/>
    <s v="Hardik Savant"/>
    <n v="184804419951"/>
    <x v="2"/>
    <x v="2"/>
    <x v="2"/>
    <s v="Current"/>
    <x v="2"/>
    <n v="264455.89"/>
    <x v="3"/>
    <x v="89"/>
    <x v="0"/>
    <x v="99"/>
    <x v="0"/>
    <x v="2"/>
  </r>
  <r>
    <x v="100"/>
    <n v="460707"/>
    <s v="Vivaan Borra"/>
    <n v="503436480030"/>
    <x v="0"/>
    <x v="19"/>
    <x v="19"/>
    <s v="Fixed Deposit"/>
    <x v="2"/>
    <n v="131212.89000000001"/>
    <x v="4"/>
    <x v="90"/>
    <x v="0"/>
    <x v="100"/>
    <x v="0"/>
    <x v="0"/>
  </r>
  <r>
    <x v="101"/>
    <n v="408467"/>
    <s v="Radha Sridhar"/>
    <n v="443440313367"/>
    <x v="1"/>
    <x v="18"/>
    <x v="18"/>
    <s v="Savings"/>
    <x v="2"/>
    <n v="262020.46"/>
    <x v="4"/>
    <x v="91"/>
    <x v="0"/>
    <x v="101"/>
    <x v="0"/>
    <x v="9"/>
  </r>
  <r>
    <x v="102"/>
    <n v="544498"/>
    <s v="Maya Baria"/>
    <n v="823134970926"/>
    <x v="3"/>
    <x v="10"/>
    <x v="10"/>
    <s v="Fixed Deposit"/>
    <x v="1"/>
    <n v="124381.09"/>
    <x v="4"/>
    <x v="92"/>
    <x v="0"/>
    <x v="102"/>
    <x v="0"/>
    <x v="11"/>
  </r>
  <r>
    <x v="103"/>
    <n v="621252"/>
    <s v="Meera Sibal"/>
    <n v="319436377684"/>
    <x v="2"/>
    <x v="3"/>
    <x v="3"/>
    <s v="Savings"/>
    <x v="2"/>
    <n v="160823.4"/>
    <x v="1"/>
    <x v="93"/>
    <x v="0"/>
    <x v="103"/>
    <x v="0"/>
    <x v="5"/>
  </r>
  <r>
    <x v="104"/>
    <n v="726225"/>
    <s v="Upma Srinivasan"/>
    <n v="262242868098"/>
    <x v="4"/>
    <x v="14"/>
    <x v="14"/>
    <s v="Savings"/>
    <x v="0"/>
    <n v="580253.53"/>
    <x v="4"/>
    <x v="94"/>
    <x v="0"/>
    <x v="104"/>
    <x v="0"/>
    <x v="11"/>
  </r>
  <r>
    <x v="105"/>
    <n v="434987"/>
    <s v="Jacob Seth"/>
    <n v="513922347721"/>
    <x v="0"/>
    <x v="0"/>
    <x v="0"/>
    <s v="Savings"/>
    <x v="0"/>
    <n v="134600.71"/>
    <x v="4"/>
    <x v="95"/>
    <x v="0"/>
    <x v="105"/>
    <x v="0"/>
    <x v="5"/>
  </r>
  <r>
    <x v="106"/>
    <n v="718531"/>
    <s v="Lajita Pau"/>
    <n v="904962141704"/>
    <x v="4"/>
    <x v="13"/>
    <x v="13"/>
    <s v="Fixed Deposit"/>
    <x v="1"/>
    <n v="127508.79"/>
    <x v="1"/>
    <x v="96"/>
    <x v="0"/>
    <x v="106"/>
    <x v="0"/>
    <x v="1"/>
  </r>
  <r>
    <x v="107"/>
    <n v="692379"/>
    <s v="Isaac Raval"/>
    <n v="488415133220"/>
    <x v="4"/>
    <x v="20"/>
    <x v="20"/>
    <s v="Fixed Deposit"/>
    <x v="3"/>
    <n v="403120.57"/>
    <x v="0"/>
    <x v="97"/>
    <x v="0"/>
    <x v="107"/>
    <x v="0"/>
    <x v="6"/>
  </r>
  <r>
    <x v="108"/>
    <n v="533757"/>
    <s v="Andrew Sani"/>
    <n v="197930940390"/>
    <x v="0"/>
    <x v="11"/>
    <x v="11"/>
    <s v="Savings"/>
    <x v="3"/>
    <n v="384377.95"/>
    <x v="0"/>
    <x v="98"/>
    <x v="0"/>
    <x v="108"/>
    <x v="0"/>
    <x v="8"/>
  </r>
  <r>
    <x v="109"/>
    <n v="317781"/>
    <s v="Tamanna Chandra"/>
    <n v="689762479864"/>
    <x v="2"/>
    <x v="6"/>
    <x v="6"/>
    <s v="Fixed Deposit"/>
    <x v="1"/>
    <n v="12223.36"/>
    <x v="3"/>
    <x v="99"/>
    <x v="0"/>
    <x v="109"/>
    <x v="0"/>
    <x v="8"/>
  </r>
  <r>
    <x v="110"/>
    <n v="409256"/>
    <s v="Vyanjana Raja"/>
    <n v="616978136350"/>
    <x v="1"/>
    <x v="23"/>
    <x v="23"/>
    <s v="Current"/>
    <x v="3"/>
    <n v="497985.44"/>
    <x v="3"/>
    <x v="100"/>
    <x v="2"/>
    <x v="110"/>
    <x v="0"/>
    <x v="4"/>
  </r>
  <r>
    <x v="111"/>
    <n v="850255"/>
    <s v="Kevin Rege"/>
    <n v="989289734142"/>
    <x v="3"/>
    <x v="17"/>
    <x v="17"/>
    <s v="Current"/>
    <x v="1"/>
    <n v="69366.789999999994"/>
    <x v="3"/>
    <x v="88"/>
    <x v="0"/>
    <x v="111"/>
    <x v="0"/>
    <x v="1"/>
  </r>
  <r>
    <x v="112"/>
    <n v="678961"/>
    <s v="Krisha Mammen"/>
    <n v="353294394784"/>
    <x v="2"/>
    <x v="3"/>
    <x v="3"/>
    <s v="Fixed Deposit"/>
    <x v="3"/>
    <n v="89438.03"/>
    <x v="0"/>
    <x v="101"/>
    <x v="0"/>
    <x v="112"/>
    <x v="0"/>
    <x v="7"/>
  </r>
  <r>
    <x v="113"/>
    <n v="172992"/>
    <s v="Kavya Sastry"/>
    <n v="879867008186"/>
    <x v="4"/>
    <x v="14"/>
    <x v="14"/>
    <s v="Recurring Deposit"/>
    <x v="1"/>
    <n v="39572.94"/>
    <x v="3"/>
    <x v="102"/>
    <x v="0"/>
    <x v="113"/>
    <x v="0"/>
    <x v="5"/>
  </r>
  <r>
    <x v="114"/>
    <n v="618099"/>
    <s v="Jagat Hari"/>
    <n v="346427521349"/>
    <x v="2"/>
    <x v="6"/>
    <x v="6"/>
    <s v="Recurring Deposit"/>
    <x v="3"/>
    <n v="175602.6"/>
    <x v="3"/>
    <x v="86"/>
    <x v="0"/>
    <x v="114"/>
    <x v="0"/>
    <x v="11"/>
  </r>
  <r>
    <x v="115"/>
    <n v="245396"/>
    <s v="Amruta Keer"/>
    <n v="142582750102"/>
    <x v="4"/>
    <x v="15"/>
    <x v="15"/>
    <s v="Fixed Deposit"/>
    <x v="2"/>
    <n v="287661.89"/>
    <x v="2"/>
    <x v="103"/>
    <x v="0"/>
    <x v="115"/>
    <x v="0"/>
    <x v="1"/>
  </r>
  <r>
    <x v="116"/>
    <n v="396948"/>
    <s v="Ayushman Ranganathan"/>
    <n v="847152245069"/>
    <x v="1"/>
    <x v="18"/>
    <x v="18"/>
    <s v="Recurring Deposit"/>
    <x v="0"/>
    <n v="380035.38"/>
    <x v="4"/>
    <x v="104"/>
    <x v="0"/>
    <x v="116"/>
    <x v="0"/>
    <x v="0"/>
  </r>
  <r>
    <x v="117"/>
    <n v="627945"/>
    <s v="Nandini Salvi"/>
    <n v="952800653604"/>
    <x v="3"/>
    <x v="17"/>
    <x v="17"/>
    <s v="Current"/>
    <x v="2"/>
    <n v="153804.91"/>
    <x v="3"/>
    <x v="72"/>
    <x v="0"/>
    <x v="117"/>
    <x v="0"/>
    <x v="10"/>
  </r>
  <r>
    <x v="118"/>
    <n v="439411"/>
    <s v="Chaaya Cheema"/>
    <n v="802999451859"/>
    <x v="2"/>
    <x v="8"/>
    <x v="8"/>
    <s v="Savings"/>
    <x v="3"/>
    <n v="113618.28"/>
    <x v="3"/>
    <x v="105"/>
    <x v="0"/>
    <x v="118"/>
    <x v="0"/>
    <x v="4"/>
  </r>
  <r>
    <x v="119"/>
    <n v="900676"/>
    <s v="Veer Lalla"/>
    <n v="980417793826"/>
    <x v="1"/>
    <x v="23"/>
    <x v="23"/>
    <s v="Recurring Deposit"/>
    <x v="3"/>
    <n v="433074.01"/>
    <x v="2"/>
    <x v="106"/>
    <x v="0"/>
    <x v="119"/>
    <x v="0"/>
    <x v="5"/>
  </r>
  <r>
    <x v="120"/>
    <n v="843102"/>
    <s v="Daniel Sekhon"/>
    <n v="920697483092"/>
    <x v="3"/>
    <x v="10"/>
    <x v="10"/>
    <s v="Current"/>
    <x v="0"/>
    <n v="149417.23000000001"/>
    <x v="4"/>
    <x v="107"/>
    <x v="0"/>
    <x v="120"/>
    <x v="0"/>
    <x v="7"/>
  </r>
  <r>
    <x v="121"/>
    <n v="181978"/>
    <s v="Ethan Gill"/>
    <n v="440778300689"/>
    <x v="0"/>
    <x v="11"/>
    <x v="11"/>
    <s v="Fixed Deposit"/>
    <x v="0"/>
    <n v="390198.76"/>
    <x v="1"/>
    <x v="108"/>
    <x v="0"/>
    <x v="121"/>
    <x v="0"/>
    <x v="7"/>
  </r>
  <r>
    <x v="122"/>
    <n v="948408"/>
    <s v="Chanchal Kara"/>
    <n v="176675428770"/>
    <x v="1"/>
    <x v="23"/>
    <x v="23"/>
    <s v="Recurring Deposit"/>
    <x v="3"/>
    <n v="244655.55"/>
    <x v="3"/>
    <x v="19"/>
    <x v="0"/>
    <x v="122"/>
    <x v="0"/>
    <x v="8"/>
  </r>
  <r>
    <x v="123"/>
    <n v="524156"/>
    <s v="Yatan Bandi"/>
    <n v="300442436792"/>
    <x v="4"/>
    <x v="20"/>
    <x v="20"/>
    <s v="Current"/>
    <x v="0"/>
    <n v="87325.57"/>
    <x v="1"/>
    <x v="109"/>
    <x v="2"/>
    <x v="123"/>
    <x v="0"/>
    <x v="2"/>
  </r>
  <r>
    <x v="124"/>
    <n v="223350"/>
    <s v="Turvi Nayak"/>
    <n v="650905653791"/>
    <x v="1"/>
    <x v="18"/>
    <x v="18"/>
    <s v="Current"/>
    <x v="3"/>
    <n v="83160.84"/>
    <x v="3"/>
    <x v="77"/>
    <x v="0"/>
    <x v="124"/>
    <x v="0"/>
    <x v="0"/>
  </r>
  <r>
    <x v="125"/>
    <n v="860759"/>
    <s v="Robert Lal"/>
    <n v="274518043942"/>
    <x v="4"/>
    <x v="15"/>
    <x v="15"/>
    <s v="Current"/>
    <x v="2"/>
    <n v="151300.17000000001"/>
    <x v="0"/>
    <x v="110"/>
    <x v="0"/>
    <x v="125"/>
    <x v="0"/>
    <x v="1"/>
  </r>
  <r>
    <x v="126"/>
    <n v="275035"/>
    <s v="Bakhshi Kunda"/>
    <n v="880276020182"/>
    <x v="0"/>
    <x v="0"/>
    <x v="0"/>
    <s v="Fixed Deposit"/>
    <x v="3"/>
    <n v="459795.81"/>
    <x v="3"/>
    <x v="111"/>
    <x v="0"/>
    <x v="126"/>
    <x v="0"/>
    <x v="2"/>
  </r>
  <r>
    <x v="127"/>
    <n v="946700"/>
    <s v="Krishna Sarna"/>
    <n v="444007230901"/>
    <x v="0"/>
    <x v="19"/>
    <x v="19"/>
    <s v="Fixed Deposit"/>
    <x v="2"/>
    <n v="234750.67"/>
    <x v="2"/>
    <x v="112"/>
    <x v="0"/>
    <x v="127"/>
    <x v="0"/>
    <x v="8"/>
  </r>
  <r>
    <x v="128"/>
    <n v="334468"/>
    <s v="Ayush Zachariah"/>
    <n v="799839515528"/>
    <x v="3"/>
    <x v="7"/>
    <x v="7"/>
    <s v="Recurring Deposit"/>
    <x v="2"/>
    <n v="252952.49"/>
    <x v="1"/>
    <x v="113"/>
    <x v="0"/>
    <x v="128"/>
    <x v="0"/>
    <x v="8"/>
  </r>
  <r>
    <x v="129"/>
    <n v="774637"/>
    <s v="Jeet Chawla"/>
    <n v="431080009450"/>
    <x v="3"/>
    <x v="7"/>
    <x v="7"/>
    <s v="Fixed Deposit"/>
    <x v="0"/>
    <n v="269429.23"/>
    <x v="2"/>
    <x v="114"/>
    <x v="0"/>
    <x v="129"/>
    <x v="0"/>
    <x v="0"/>
  </r>
  <r>
    <x v="130"/>
    <n v="851296"/>
    <s v="Yadavi Wason"/>
    <n v="247431431877"/>
    <x v="0"/>
    <x v="5"/>
    <x v="5"/>
    <s v="Current"/>
    <x v="2"/>
    <n v="193920.04"/>
    <x v="1"/>
    <x v="115"/>
    <x v="0"/>
    <x v="130"/>
    <x v="0"/>
    <x v="7"/>
  </r>
  <r>
    <x v="131"/>
    <n v="322365"/>
    <s v="Sanya Jaggi"/>
    <n v="265051585781"/>
    <x v="2"/>
    <x v="3"/>
    <x v="3"/>
    <s v="Savings"/>
    <x v="1"/>
    <n v="56240.77"/>
    <x v="3"/>
    <x v="116"/>
    <x v="0"/>
    <x v="131"/>
    <x v="0"/>
    <x v="6"/>
  </r>
  <r>
    <x v="132"/>
    <n v="935644"/>
    <s v="Jhalak Walia"/>
    <n v="177523340140"/>
    <x v="2"/>
    <x v="16"/>
    <x v="16"/>
    <s v="Fixed Deposit"/>
    <x v="0"/>
    <n v="596395.99"/>
    <x v="1"/>
    <x v="58"/>
    <x v="2"/>
    <x v="132"/>
    <x v="0"/>
    <x v="9"/>
  </r>
  <r>
    <x v="133"/>
    <n v="945657"/>
    <s v="Ishaan Vaidya"/>
    <n v="792853366341"/>
    <x v="4"/>
    <x v="13"/>
    <x v="13"/>
    <s v="Recurring Deposit"/>
    <x v="2"/>
    <n v="55038.21"/>
    <x v="3"/>
    <x v="117"/>
    <x v="0"/>
    <x v="133"/>
    <x v="0"/>
    <x v="10"/>
  </r>
  <r>
    <x v="134"/>
    <n v="752028"/>
    <s v="Amrita Pathak"/>
    <n v="805666817485"/>
    <x v="0"/>
    <x v="19"/>
    <x v="19"/>
    <s v="Savings"/>
    <x v="2"/>
    <n v="115885.54"/>
    <x v="0"/>
    <x v="118"/>
    <x v="0"/>
    <x v="134"/>
    <x v="0"/>
    <x v="2"/>
  </r>
  <r>
    <x v="135"/>
    <n v="751030"/>
    <s v="George Sarraf"/>
    <n v="990579280992"/>
    <x v="3"/>
    <x v="7"/>
    <x v="7"/>
    <s v="Savings"/>
    <x v="0"/>
    <n v="526549.79"/>
    <x v="4"/>
    <x v="119"/>
    <x v="0"/>
    <x v="135"/>
    <x v="0"/>
    <x v="0"/>
  </r>
  <r>
    <x v="136"/>
    <n v="728256"/>
    <s v="Maanav Madan"/>
    <n v="824494447566"/>
    <x v="0"/>
    <x v="0"/>
    <x v="0"/>
    <s v="Current"/>
    <x v="1"/>
    <n v="44496.26"/>
    <x v="2"/>
    <x v="120"/>
    <x v="0"/>
    <x v="136"/>
    <x v="0"/>
    <x v="10"/>
  </r>
  <r>
    <x v="137"/>
    <n v="647407"/>
    <s v="Pavani Sampath"/>
    <n v="859240583067"/>
    <x v="4"/>
    <x v="15"/>
    <x v="15"/>
    <s v="Current"/>
    <x v="2"/>
    <n v="163254.69"/>
    <x v="3"/>
    <x v="121"/>
    <x v="0"/>
    <x v="137"/>
    <x v="0"/>
    <x v="9"/>
  </r>
  <r>
    <x v="138"/>
    <n v="564962"/>
    <s v="Bimala Ratta"/>
    <n v="462554663247"/>
    <x v="2"/>
    <x v="2"/>
    <x v="2"/>
    <s v="Recurring Deposit"/>
    <x v="1"/>
    <n v="87082.25"/>
    <x v="2"/>
    <x v="45"/>
    <x v="0"/>
    <x v="138"/>
    <x v="0"/>
    <x v="10"/>
  </r>
  <r>
    <x v="139"/>
    <n v="772937"/>
    <s v="Siya Sahota"/>
    <n v="424979154506"/>
    <x v="2"/>
    <x v="6"/>
    <x v="6"/>
    <s v="Recurring Deposit"/>
    <x v="3"/>
    <n v="16558.98"/>
    <x v="1"/>
    <x v="122"/>
    <x v="0"/>
    <x v="139"/>
    <x v="0"/>
    <x v="8"/>
  </r>
  <r>
    <x v="140"/>
    <n v="653047"/>
    <s v="Leena Sheth"/>
    <n v="594804478063"/>
    <x v="3"/>
    <x v="17"/>
    <x v="17"/>
    <s v="Savings"/>
    <x v="3"/>
    <n v="118445.89"/>
    <x v="0"/>
    <x v="123"/>
    <x v="0"/>
    <x v="140"/>
    <x v="1"/>
    <x v="6"/>
  </r>
  <r>
    <x v="141"/>
    <n v="866889"/>
    <s v="Advay Tripathi"/>
    <n v="200258397818"/>
    <x v="1"/>
    <x v="23"/>
    <x v="23"/>
    <s v="Recurring Deposit"/>
    <x v="0"/>
    <n v="538363.37"/>
    <x v="1"/>
    <x v="124"/>
    <x v="0"/>
    <x v="141"/>
    <x v="0"/>
    <x v="8"/>
  </r>
  <r>
    <x v="142"/>
    <n v="350891"/>
    <s v="Nathan Kaul"/>
    <n v="554515895107"/>
    <x v="0"/>
    <x v="5"/>
    <x v="5"/>
    <s v="Recurring Deposit"/>
    <x v="2"/>
    <n v="115989.38"/>
    <x v="0"/>
    <x v="125"/>
    <x v="0"/>
    <x v="142"/>
    <x v="0"/>
    <x v="9"/>
  </r>
  <r>
    <x v="143"/>
    <n v="882580"/>
    <s v="Harini Saran"/>
    <n v="551881289169"/>
    <x v="4"/>
    <x v="15"/>
    <x v="15"/>
    <s v="Current"/>
    <x v="1"/>
    <n v="118044.41"/>
    <x v="1"/>
    <x v="126"/>
    <x v="0"/>
    <x v="143"/>
    <x v="0"/>
    <x v="2"/>
  </r>
  <r>
    <x v="144"/>
    <n v="658908"/>
    <s v="Simon Raju"/>
    <n v="432189750305"/>
    <x v="0"/>
    <x v="19"/>
    <x v="19"/>
    <s v="Fixed Deposit"/>
    <x v="2"/>
    <n v="75762.73"/>
    <x v="4"/>
    <x v="127"/>
    <x v="0"/>
    <x v="144"/>
    <x v="0"/>
    <x v="11"/>
  </r>
  <r>
    <x v="145"/>
    <n v="995453"/>
    <s v="Falan Ravi"/>
    <n v="548282814998"/>
    <x v="2"/>
    <x v="3"/>
    <x v="3"/>
    <s v="Recurring Deposit"/>
    <x v="3"/>
    <n v="469955.81"/>
    <x v="0"/>
    <x v="128"/>
    <x v="0"/>
    <x v="145"/>
    <x v="0"/>
    <x v="11"/>
  </r>
  <r>
    <x v="146"/>
    <n v="481552"/>
    <s v="Megha Raja"/>
    <n v="599383994938"/>
    <x v="0"/>
    <x v="4"/>
    <x v="4"/>
    <s v="Fixed Deposit"/>
    <x v="0"/>
    <n v="147489.57999999999"/>
    <x v="2"/>
    <x v="129"/>
    <x v="0"/>
    <x v="146"/>
    <x v="0"/>
    <x v="7"/>
  </r>
  <r>
    <x v="147"/>
    <n v="946300"/>
    <s v="Zilmil Solanki"/>
    <n v="118420256517"/>
    <x v="0"/>
    <x v="11"/>
    <x v="11"/>
    <s v="Current"/>
    <x v="1"/>
    <n v="133972.62"/>
    <x v="4"/>
    <x v="130"/>
    <x v="0"/>
    <x v="147"/>
    <x v="0"/>
    <x v="11"/>
  </r>
  <r>
    <x v="148"/>
    <n v="358049"/>
    <s v="Pahal Shroff"/>
    <n v="499277122705"/>
    <x v="2"/>
    <x v="2"/>
    <x v="2"/>
    <s v="Recurring Deposit"/>
    <x v="3"/>
    <n v="406154.8"/>
    <x v="3"/>
    <x v="131"/>
    <x v="0"/>
    <x v="148"/>
    <x v="0"/>
    <x v="5"/>
  </r>
  <r>
    <x v="149"/>
    <n v="579752"/>
    <s v="Thomas Rattan"/>
    <n v="185223890909"/>
    <x v="2"/>
    <x v="8"/>
    <x v="8"/>
    <s v="Savings"/>
    <x v="3"/>
    <n v="92892.9"/>
    <x v="1"/>
    <x v="51"/>
    <x v="0"/>
    <x v="149"/>
    <x v="0"/>
    <x v="4"/>
  </r>
  <r>
    <x v="150"/>
    <n v="982731"/>
    <s v="Radha Borde"/>
    <n v="126451823883"/>
    <x v="3"/>
    <x v="7"/>
    <x v="7"/>
    <s v="Recurring Deposit"/>
    <x v="3"/>
    <n v="193006.63"/>
    <x v="1"/>
    <x v="132"/>
    <x v="0"/>
    <x v="150"/>
    <x v="0"/>
    <x v="10"/>
  </r>
  <r>
    <x v="151"/>
    <n v="695378"/>
    <s v="Eta Venkataraman"/>
    <n v="464662276260"/>
    <x v="4"/>
    <x v="14"/>
    <x v="14"/>
    <s v="Savings"/>
    <x v="0"/>
    <n v="160451.89000000001"/>
    <x v="1"/>
    <x v="133"/>
    <x v="0"/>
    <x v="151"/>
    <x v="0"/>
    <x v="2"/>
  </r>
  <r>
    <x v="152"/>
    <n v="749260"/>
    <s v="Turvi Buch"/>
    <n v="924783774270"/>
    <x v="3"/>
    <x v="21"/>
    <x v="21"/>
    <s v="Savings"/>
    <x v="2"/>
    <n v="277196.03000000003"/>
    <x v="1"/>
    <x v="134"/>
    <x v="3"/>
    <x v="152"/>
    <x v="0"/>
    <x v="6"/>
  </r>
  <r>
    <x v="153"/>
    <n v="957981"/>
    <s v="Advaith Sankar"/>
    <n v="855946759203"/>
    <x v="3"/>
    <x v="17"/>
    <x v="17"/>
    <s v="Fixed Deposit"/>
    <x v="3"/>
    <n v="69841.899999999994"/>
    <x v="3"/>
    <x v="135"/>
    <x v="0"/>
    <x v="153"/>
    <x v="0"/>
    <x v="3"/>
  </r>
  <r>
    <x v="154"/>
    <n v="893415"/>
    <s v="Vrinda Nayak"/>
    <n v="956396989936"/>
    <x v="1"/>
    <x v="1"/>
    <x v="1"/>
    <s v="Savings"/>
    <x v="0"/>
    <n v="267487.64"/>
    <x v="1"/>
    <x v="136"/>
    <x v="0"/>
    <x v="154"/>
    <x v="0"/>
    <x v="11"/>
  </r>
  <r>
    <x v="155"/>
    <n v="270470"/>
    <s v="Pallavi Bumb"/>
    <n v="194148450617"/>
    <x v="0"/>
    <x v="11"/>
    <x v="11"/>
    <s v="Recurring Deposit"/>
    <x v="3"/>
    <n v="70696.570000000007"/>
    <x v="1"/>
    <x v="53"/>
    <x v="0"/>
    <x v="155"/>
    <x v="0"/>
    <x v="1"/>
  </r>
  <r>
    <x v="156"/>
    <n v="775874"/>
    <s v="Unnati Dugar"/>
    <n v="113624287115"/>
    <x v="1"/>
    <x v="18"/>
    <x v="18"/>
    <s v="Fixed Deposit"/>
    <x v="1"/>
    <n v="111768.05"/>
    <x v="1"/>
    <x v="71"/>
    <x v="0"/>
    <x v="156"/>
    <x v="0"/>
    <x v="0"/>
  </r>
  <r>
    <x v="157"/>
    <n v="264651"/>
    <s v="Viraj Bhatia"/>
    <n v="687564757084"/>
    <x v="3"/>
    <x v="7"/>
    <x v="7"/>
    <s v="Current"/>
    <x v="2"/>
    <n v="185535.98"/>
    <x v="3"/>
    <x v="137"/>
    <x v="0"/>
    <x v="157"/>
    <x v="0"/>
    <x v="2"/>
  </r>
  <r>
    <x v="158"/>
    <n v="464154"/>
    <s v="Mugdha Panchal"/>
    <n v="219059604533"/>
    <x v="3"/>
    <x v="22"/>
    <x v="22"/>
    <s v="Recurring Deposit"/>
    <x v="0"/>
    <n v="443617.87"/>
    <x v="3"/>
    <x v="80"/>
    <x v="0"/>
    <x v="158"/>
    <x v="0"/>
    <x v="1"/>
  </r>
  <r>
    <x v="159"/>
    <n v="146344"/>
    <s v="David Bhakta"/>
    <n v="802060333395"/>
    <x v="1"/>
    <x v="23"/>
    <x v="23"/>
    <s v="Fixed Deposit"/>
    <x v="3"/>
    <n v="21505.02"/>
    <x v="4"/>
    <x v="138"/>
    <x v="0"/>
    <x v="159"/>
    <x v="0"/>
    <x v="10"/>
  </r>
  <r>
    <x v="160"/>
    <n v="575179"/>
    <s v="Laksh Sarin"/>
    <n v="950574724598"/>
    <x v="0"/>
    <x v="4"/>
    <x v="4"/>
    <s v="Current"/>
    <x v="2"/>
    <n v="41041.120000000003"/>
    <x v="0"/>
    <x v="139"/>
    <x v="0"/>
    <x v="160"/>
    <x v="0"/>
    <x v="6"/>
  </r>
  <r>
    <x v="161"/>
    <n v="721340"/>
    <s v="Lajita Malhotra"/>
    <n v="555966315099"/>
    <x v="0"/>
    <x v="5"/>
    <x v="5"/>
    <s v="Recurring Deposit"/>
    <x v="1"/>
    <n v="127514.79"/>
    <x v="4"/>
    <x v="140"/>
    <x v="2"/>
    <x v="161"/>
    <x v="0"/>
    <x v="3"/>
  </r>
  <r>
    <x v="162"/>
    <n v="978283"/>
    <s v="Ucchal Morar"/>
    <n v="686925039970"/>
    <x v="2"/>
    <x v="2"/>
    <x v="2"/>
    <s v="Recurring Deposit"/>
    <x v="2"/>
    <n v="46440.959999999999"/>
    <x v="3"/>
    <x v="141"/>
    <x v="0"/>
    <x v="162"/>
    <x v="0"/>
    <x v="5"/>
  </r>
  <r>
    <x v="163"/>
    <n v="308373"/>
    <s v="Hemang Srinivasan"/>
    <n v="850820030043"/>
    <x v="1"/>
    <x v="1"/>
    <x v="1"/>
    <s v="Current"/>
    <x v="0"/>
    <n v="81438.09"/>
    <x v="3"/>
    <x v="89"/>
    <x v="0"/>
    <x v="163"/>
    <x v="0"/>
    <x v="2"/>
  </r>
  <r>
    <x v="164"/>
    <n v="382042"/>
    <s v="Unni Chander"/>
    <n v="672793088296"/>
    <x v="1"/>
    <x v="1"/>
    <x v="1"/>
    <s v="Fixed Deposit"/>
    <x v="1"/>
    <n v="24609.7"/>
    <x v="2"/>
    <x v="142"/>
    <x v="0"/>
    <x v="164"/>
    <x v="0"/>
    <x v="4"/>
  </r>
  <r>
    <x v="165"/>
    <n v="841087"/>
    <s v="Dhriti Bhatti"/>
    <n v="340321947570"/>
    <x v="3"/>
    <x v="17"/>
    <x v="17"/>
    <s v="Current"/>
    <x v="1"/>
    <n v="80691.649999999994"/>
    <x v="1"/>
    <x v="143"/>
    <x v="0"/>
    <x v="165"/>
    <x v="0"/>
    <x v="8"/>
  </r>
  <r>
    <x v="166"/>
    <n v="453621"/>
    <s v="Arjun Oza"/>
    <n v="572275455942"/>
    <x v="0"/>
    <x v="4"/>
    <x v="4"/>
    <s v="Savings"/>
    <x v="1"/>
    <n v="86333.22"/>
    <x v="3"/>
    <x v="144"/>
    <x v="0"/>
    <x v="166"/>
    <x v="0"/>
    <x v="5"/>
  </r>
  <r>
    <x v="167"/>
    <n v="194555"/>
    <s v="Abhiram Dua"/>
    <n v="623222273192"/>
    <x v="0"/>
    <x v="0"/>
    <x v="0"/>
    <s v="Savings"/>
    <x v="2"/>
    <n v="121786.38"/>
    <x v="4"/>
    <x v="145"/>
    <x v="1"/>
    <x v="167"/>
    <x v="0"/>
    <x v="6"/>
  </r>
  <r>
    <x v="168"/>
    <n v="770075"/>
    <s v="Banjeet Mahal"/>
    <n v="292949525017"/>
    <x v="0"/>
    <x v="0"/>
    <x v="0"/>
    <s v="Fixed Deposit"/>
    <x v="2"/>
    <n v="130110.38"/>
    <x v="3"/>
    <x v="146"/>
    <x v="0"/>
    <x v="168"/>
    <x v="0"/>
    <x v="10"/>
  </r>
  <r>
    <x v="169"/>
    <n v="829378"/>
    <s v="Vasudha Nayar"/>
    <n v="903370949456"/>
    <x v="4"/>
    <x v="14"/>
    <x v="14"/>
    <s v="Fixed Deposit"/>
    <x v="0"/>
    <n v="585632.02"/>
    <x v="3"/>
    <x v="147"/>
    <x v="0"/>
    <x v="169"/>
    <x v="0"/>
    <x v="11"/>
  </r>
  <r>
    <x v="170"/>
    <n v="987879"/>
    <s v="Daksha Dhawan"/>
    <n v="260587250312"/>
    <x v="2"/>
    <x v="2"/>
    <x v="2"/>
    <s v="Savings"/>
    <x v="1"/>
    <n v="13739.75"/>
    <x v="2"/>
    <x v="93"/>
    <x v="0"/>
    <x v="170"/>
    <x v="0"/>
    <x v="5"/>
  </r>
  <r>
    <x v="171"/>
    <n v="232569"/>
    <s v="Harini Ravel"/>
    <n v="977364169001"/>
    <x v="0"/>
    <x v="0"/>
    <x v="0"/>
    <s v="Fixed Deposit"/>
    <x v="3"/>
    <n v="217678.95"/>
    <x v="3"/>
    <x v="148"/>
    <x v="0"/>
    <x v="171"/>
    <x v="0"/>
    <x v="3"/>
  </r>
  <r>
    <x v="172"/>
    <n v="287130"/>
    <s v="Pranav Dave"/>
    <n v="390913928721"/>
    <x v="0"/>
    <x v="11"/>
    <x v="11"/>
    <s v="Recurring Deposit"/>
    <x v="2"/>
    <n v="241267.85"/>
    <x v="2"/>
    <x v="149"/>
    <x v="0"/>
    <x v="172"/>
    <x v="0"/>
    <x v="11"/>
  </r>
  <r>
    <x v="173"/>
    <n v="273869"/>
    <s v="Faraj Rout"/>
    <n v="722703997525"/>
    <x v="4"/>
    <x v="12"/>
    <x v="12"/>
    <s v="Current"/>
    <x v="2"/>
    <n v="282229.52"/>
    <x v="3"/>
    <x v="150"/>
    <x v="0"/>
    <x v="173"/>
    <x v="0"/>
    <x v="3"/>
  </r>
  <r>
    <x v="174"/>
    <n v="533366"/>
    <s v="Luke Luthra"/>
    <n v="792282281783"/>
    <x v="4"/>
    <x v="12"/>
    <x v="12"/>
    <s v="Current"/>
    <x v="3"/>
    <n v="45405.21"/>
    <x v="2"/>
    <x v="151"/>
    <x v="0"/>
    <x v="174"/>
    <x v="0"/>
    <x v="5"/>
  </r>
  <r>
    <x v="175"/>
    <n v="392320"/>
    <s v="Urmi Patla"/>
    <n v="738265413805"/>
    <x v="3"/>
    <x v="10"/>
    <x v="10"/>
    <s v="Recurring Deposit"/>
    <x v="0"/>
    <n v="212526.68"/>
    <x v="0"/>
    <x v="128"/>
    <x v="0"/>
    <x v="175"/>
    <x v="0"/>
    <x v="11"/>
  </r>
  <r>
    <x v="176"/>
    <n v="489951"/>
    <s v="Chanakya Dhar"/>
    <n v="660462416947"/>
    <x v="2"/>
    <x v="16"/>
    <x v="16"/>
    <s v="Current"/>
    <x v="3"/>
    <n v="338467.95"/>
    <x v="4"/>
    <x v="152"/>
    <x v="0"/>
    <x v="176"/>
    <x v="0"/>
    <x v="11"/>
  </r>
  <r>
    <x v="177"/>
    <n v="182090"/>
    <s v="Yashodhara Ganesan"/>
    <n v="773349801258"/>
    <x v="4"/>
    <x v="13"/>
    <x v="13"/>
    <s v="Current"/>
    <x v="3"/>
    <n v="144290.97"/>
    <x v="2"/>
    <x v="153"/>
    <x v="0"/>
    <x v="177"/>
    <x v="0"/>
    <x v="9"/>
  </r>
  <r>
    <x v="178"/>
    <n v="861891"/>
    <s v="Ranveer Rout"/>
    <n v="758276699400"/>
    <x v="3"/>
    <x v="10"/>
    <x v="10"/>
    <s v="Current"/>
    <x v="3"/>
    <n v="34188.99"/>
    <x v="4"/>
    <x v="154"/>
    <x v="0"/>
    <x v="178"/>
    <x v="0"/>
    <x v="9"/>
  </r>
  <r>
    <x v="179"/>
    <n v="915152"/>
    <s v="Wakeeta Ratti"/>
    <n v="885153418135"/>
    <x v="3"/>
    <x v="21"/>
    <x v="21"/>
    <s v="Savings"/>
    <x v="1"/>
    <n v="82302.03"/>
    <x v="1"/>
    <x v="155"/>
    <x v="0"/>
    <x v="179"/>
    <x v="0"/>
    <x v="1"/>
  </r>
  <r>
    <x v="180"/>
    <n v="955248"/>
    <s v="Abhimanyu Sama"/>
    <n v="536354802733"/>
    <x v="2"/>
    <x v="6"/>
    <x v="6"/>
    <s v="Savings"/>
    <x v="3"/>
    <n v="333457.7"/>
    <x v="1"/>
    <x v="60"/>
    <x v="3"/>
    <x v="180"/>
    <x v="0"/>
    <x v="11"/>
  </r>
  <r>
    <x v="181"/>
    <n v="102739"/>
    <s v="Lohit Bajwa"/>
    <n v="774104911098"/>
    <x v="0"/>
    <x v="19"/>
    <x v="19"/>
    <s v="Savings"/>
    <x v="1"/>
    <n v="129936.35"/>
    <x v="4"/>
    <x v="156"/>
    <x v="0"/>
    <x v="181"/>
    <x v="0"/>
    <x v="4"/>
  </r>
  <r>
    <x v="182"/>
    <n v="870440"/>
    <s v="Widisha Luthra"/>
    <n v="599441016363"/>
    <x v="1"/>
    <x v="18"/>
    <x v="18"/>
    <s v="Savings"/>
    <x v="3"/>
    <n v="343331.26"/>
    <x v="1"/>
    <x v="157"/>
    <x v="0"/>
    <x v="182"/>
    <x v="0"/>
    <x v="5"/>
  </r>
  <r>
    <x v="183"/>
    <n v="568609"/>
    <s v="Nandini Borra"/>
    <n v="575512465389"/>
    <x v="2"/>
    <x v="6"/>
    <x v="6"/>
    <s v="Fixed Deposit"/>
    <x v="1"/>
    <n v="6580.59"/>
    <x v="3"/>
    <x v="158"/>
    <x v="2"/>
    <x v="183"/>
    <x v="0"/>
    <x v="6"/>
  </r>
  <r>
    <x v="184"/>
    <n v="365649"/>
    <s v="Oscar Naidu"/>
    <n v="709341661530"/>
    <x v="3"/>
    <x v="22"/>
    <x v="22"/>
    <s v="Fixed Deposit"/>
    <x v="3"/>
    <n v="27356.09"/>
    <x v="0"/>
    <x v="159"/>
    <x v="0"/>
    <x v="184"/>
    <x v="0"/>
    <x v="4"/>
  </r>
  <r>
    <x v="185"/>
    <n v="818603"/>
    <s v="Ishanvi Dixit"/>
    <n v="782215302028"/>
    <x v="0"/>
    <x v="5"/>
    <x v="5"/>
    <s v="Fixed Deposit"/>
    <x v="0"/>
    <n v="259278.23"/>
    <x v="2"/>
    <x v="160"/>
    <x v="1"/>
    <x v="185"/>
    <x v="0"/>
    <x v="5"/>
  </r>
  <r>
    <x v="186"/>
    <n v="764919"/>
    <s v="Azaan Kota"/>
    <n v="459712929306"/>
    <x v="3"/>
    <x v="21"/>
    <x v="21"/>
    <s v="Savings"/>
    <x v="3"/>
    <n v="102247.08"/>
    <x v="2"/>
    <x v="66"/>
    <x v="0"/>
    <x v="186"/>
    <x v="0"/>
    <x v="3"/>
  </r>
  <r>
    <x v="187"/>
    <n v="408340"/>
    <s v="Patrick Oommen"/>
    <n v="128421661114"/>
    <x v="2"/>
    <x v="6"/>
    <x v="6"/>
    <s v="Savings"/>
    <x v="1"/>
    <n v="94310.27"/>
    <x v="4"/>
    <x v="161"/>
    <x v="0"/>
    <x v="187"/>
    <x v="1"/>
    <x v="8"/>
  </r>
  <r>
    <x v="188"/>
    <n v="599905"/>
    <s v="Turvi Dara"/>
    <n v="532372091101"/>
    <x v="0"/>
    <x v="0"/>
    <x v="0"/>
    <s v="Savings"/>
    <x v="0"/>
    <n v="197642.07"/>
    <x v="0"/>
    <x v="162"/>
    <x v="0"/>
    <x v="188"/>
    <x v="0"/>
    <x v="2"/>
  </r>
  <r>
    <x v="189"/>
    <n v="185724"/>
    <s v="Aarnav Kant"/>
    <n v="133109804226"/>
    <x v="4"/>
    <x v="13"/>
    <x v="13"/>
    <s v="Fixed Deposit"/>
    <x v="1"/>
    <n v="108609.83"/>
    <x v="2"/>
    <x v="43"/>
    <x v="0"/>
    <x v="189"/>
    <x v="0"/>
    <x v="6"/>
  </r>
  <r>
    <x v="190"/>
    <n v="459857"/>
    <s v="Madhav Shenoy"/>
    <n v="674125296809"/>
    <x v="2"/>
    <x v="2"/>
    <x v="2"/>
    <s v="Fixed Deposit"/>
    <x v="3"/>
    <n v="178673.93"/>
    <x v="2"/>
    <x v="163"/>
    <x v="0"/>
    <x v="190"/>
    <x v="0"/>
    <x v="6"/>
  </r>
  <r>
    <x v="191"/>
    <n v="927818"/>
    <s v="Lohit Kurian"/>
    <n v="644707102453"/>
    <x v="1"/>
    <x v="1"/>
    <x v="1"/>
    <s v="Savings"/>
    <x v="3"/>
    <n v="274718.28000000003"/>
    <x v="3"/>
    <x v="164"/>
    <x v="0"/>
    <x v="191"/>
    <x v="0"/>
    <x v="10"/>
  </r>
  <r>
    <x v="192"/>
    <n v="569704"/>
    <s v="Harsh Nayak"/>
    <n v="948080124499"/>
    <x v="0"/>
    <x v="0"/>
    <x v="0"/>
    <s v="Current"/>
    <x v="0"/>
    <n v="570945.16"/>
    <x v="2"/>
    <x v="165"/>
    <x v="0"/>
    <x v="192"/>
    <x v="0"/>
    <x v="4"/>
  </r>
  <r>
    <x v="193"/>
    <n v="930330"/>
    <s v="Vasana Srinivas"/>
    <n v="171580026376"/>
    <x v="2"/>
    <x v="8"/>
    <x v="8"/>
    <s v="Recurring Deposit"/>
    <x v="0"/>
    <n v="54099.78"/>
    <x v="3"/>
    <x v="166"/>
    <x v="2"/>
    <x v="193"/>
    <x v="0"/>
    <x v="3"/>
  </r>
  <r>
    <x v="194"/>
    <n v="509505"/>
    <s v="Yashawini Handa"/>
    <n v="323601796174"/>
    <x v="2"/>
    <x v="2"/>
    <x v="2"/>
    <s v="Current"/>
    <x v="3"/>
    <n v="347787.5"/>
    <x v="4"/>
    <x v="167"/>
    <x v="0"/>
    <x v="194"/>
    <x v="0"/>
    <x v="4"/>
  </r>
  <r>
    <x v="195"/>
    <n v="384060"/>
    <s v="Timothy Bhagat"/>
    <n v="174074350282"/>
    <x v="1"/>
    <x v="9"/>
    <x v="9"/>
    <s v="Savings"/>
    <x v="3"/>
    <n v="158285.28"/>
    <x v="4"/>
    <x v="168"/>
    <x v="0"/>
    <x v="195"/>
    <x v="0"/>
    <x v="10"/>
  </r>
  <r>
    <x v="196"/>
    <n v="196463"/>
    <s v="Zinal Raju"/>
    <n v="446324586564"/>
    <x v="1"/>
    <x v="24"/>
    <x v="24"/>
    <s v="Savings"/>
    <x v="2"/>
    <n v="232081.79"/>
    <x v="0"/>
    <x v="169"/>
    <x v="0"/>
    <x v="196"/>
    <x v="0"/>
    <x v="8"/>
  </r>
  <r>
    <x v="197"/>
    <n v="869806"/>
    <s v="Logan Hayre"/>
    <n v="993033314029"/>
    <x v="3"/>
    <x v="21"/>
    <x v="21"/>
    <s v="Recurring Deposit"/>
    <x v="2"/>
    <n v="224004.06"/>
    <x v="2"/>
    <x v="170"/>
    <x v="0"/>
    <x v="197"/>
    <x v="0"/>
    <x v="2"/>
  </r>
  <r>
    <x v="198"/>
    <n v="916524"/>
    <s v="Yutika Babu"/>
    <n v="294611826165"/>
    <x v="0"/>
    <x v="5"/>
    <x v="5"/>
    <s v="Savings"/>
    <x v="1"/>
    <n v="104110.42"/>
    <x v="3"/>
    <x v="98"/>
    <x v="0"/>
    <x v="198"/>
    <x v="0"/>
    <x v="8"/>
  </r>
  <r>
    <x v="199"/>
    <n v="713748"/>
    <s v="Xavier Varughese"/>
    <n v="104745824924"/>
    <x v="2"/>
    <x v="16"/>
    <x v="16"/>
    <s v="Savings"/>
    <x v="3"/>
    <n v="180619.41"/>
    <x v="0"/>
    <x v="171"/>
    <x v="3"/>
    <x v="199"/>
    <x v="0"/>
    <x v="3"/>
  </r>
  <r>
    <x v="200"/>
    <n v="147276"/>
    <s v="Elijah Sen"/>
    <n v="298367664209"/>
    <x v="4"/>
    <x v="15"/>
    <x v="15"/>
    <s v="Recurring Deposit"/>
    <x v="3"/>
    <n v="51950.12"/>
    <x v="2"/>
    <x v="172"/>
    <x v="0"/>
    <x v="200"/>
    <x v="0"/>
    <x v="9"/>
  </r>
  <r>
    <x v="201"/>
    <n v="534364"/>
    <s v="Amrita Baria"/>
    <n v="908844402758"/>
    <x v="4"/>
    <x v="14"/>
    <x v="14"/>
    <s v="Recurring Deposit"/>
    <x v="0"/>
    <n v="443370.23999999999"/>
    <x v="2"/>
    <x v="173"/>
    <x v="0"/>
    <x v="201"/>
    <x v="0"/>
    <x v="2"/>
  </r>
  <r>
    <x v="202"/>
    <n v="929089"/>
    <s v="Frederick Prabhakar"/>
    <n v="879121856049"/>
    <x v="2"/>
    <x v="6"/>
    <x v="6"/>
    <s v="Recurring Deposit"/>
    <x v="0"/>
    <n v="282561.71999999997"/>
    <x v="0"/>
    <x v="174"/>
    <x v="1"/>
    <x v="202"/>
    <x v="0"/>
    <x v="7"/>
  </r>
  <r>
    <x v="203"/>
    <n v="767038"/>
    <s v="Amara Chacko"/>
    <n v="448540026288"/>
    <x v="3"/>
    <x v="10"/>
    <x v="10"/>
    <s v="Recurring Deposit"/>
    <x v="2"/>
    <n v="154737.07"/>
    <x v="1"/>
    <x v="175"/>
    <x v="0"/>
    <x v="203"/>
    <x v="0"/>
    <x v="8"/>
  </r>
  <r>
    <x v="204"/>
    <n v="661975"/>
    <s v="Inaya Prabhakar"/>
    <n v="700954169412"/>
    <x v="4"/>
    <x v="20"/>
    <x v="20"/>
    <s v="Fixed Deposit"/>
    <x v="2"/>
    <n v="116023.92"/>
    <x v="1"/>
    <x v="71"/>
    <x v="0"/>
    <x v="204"/>
    <x v="0"/>
    <x v="0"/>
  </r>
  <r>
    <x v="205"/>
    <n v="716285"/>
    <s v="Triveni Sanghvi"/>
    <n v="784033043076"/>
    <x v="2"/>
    <x v="2"/>
    <x v="2"/>
    <s v="Recurring Deposit"/>
    <x v="0"/>
    <n v="70607.77"/>
    <x v="2"/>
    <x v="84"/>
    <x v="0"/>
    <x v="205"/>
    <x v="0"/>
    <x v="9"/>
  </r>
  <r>
    <x v="206"/>
    <n v="605524"/>
    <s v="Jacob Char"/>
    <n v="956938466004"/>
    <x v="3"/>
    <x v="17"/>
    <x v="17"/>
    <s v="Recurring Deposit"/>
    <x v="1"/>
    <n v="72811.91"/>
    <x v="2"/>
    <x v="7"/>
    <x v="0"/>
    <x v="206"/>
    <x v="0"/>
    <x v="6"/>
  </r>
  <r>
    <x v="207"/>
    <n v="765487"/>
    <s v="Pooja Baral"/>
    <n v="356872754777"/>
    <x v="2"/>
    <x v="6"/>
    <x v="6"/>
    <s v="Recurring Deposit"/>
    <x v="1"/>
    <n v="107276.07"/>
    <x v="0"/>
    <x v="176"/>
    <x v="0"/>
    <x v="207"/>
    <x v="0"/>
    <x v="11"/>
  </r>
  <r>
    <x v="208"/>
    <n v="155745"/>
    <s v="Harshil Ramaswamy"/>
    <n v="967181974276"/>
    <x v="1"/>
    <x v="1"/>
    <x v="1"/>
    <s v="Savings"/>
    <x v="0"/>
    <n v="91230.37"/>
    <x v="3"/>
    <x v="177"/>
    <x v="0"/>
    <x v="208"/>
    <x v="0"/>
    <x v="8"/>
  </r>
  <r>
    <x v="209"/>
    <n v="303453"/>
    <s v="Charles Devi"/>
    <n v="243746329004"/>
    <x v="4"/>
    <x v="12"/>
    <x v="12"/>
    <s v="Fixed Deposit"/>
    <x v="3"/>
    <n v="152931.09"/>
    <x v="3"/>
    <x v="2"/>
    <x v="0"/>
    <x v="209"/>
    <x v="0"/>
    <x v="2"/>
  </r>
  <r>
    <x v="210"/>
    <n v="787015"/>
    <s v="Hredhaan Aurora"/>
    <n v="575318543797"/>
    <x v="3"/>
    <x v="21"/>
    <x v="21"/>
    <s v="Savings"/>
    <x v="1"/>
    <n v="79178.86"/>
    <x v="3"/>
    <x v="178"/>
    <x v="0"/>
    <x v="210"/>
    <x v="1"/>
    <x v="6"/>
  </r>
  <r>
    <x v="211"/>
    <n v="343315"/>
    <s v="Indrajit Brar"/>
    <n v="972348027984"/>
    <x v="4"/>
    <x v="14"/>
    <x v="14"/>
    <s v="Fixed Deposit"/>
    <x v="2"/>
    <n v="56093.16"/>
    <x v="1"/>
    <x v="179"/>
    <x v="0"/>
    <x v="211"/>
    <x v="0"/>
    <x v="8"/>
  </r>
  <r>
    <x v="212"/>
    <n v="840177"/>
    <s v="Eta Zacharia"/>
    <n v="620866833278"/>
    <x v="1"/>
    <x v="23"/>
    <x v="23"/>
    <s v="Current"/>
    <x v="1"/>
    <n v="28423.01"/>
    <x v="4"/>
    <x v="180"/>
    <x v="0"/>
    <x v="212"/>
    <x v="0"/>
    <x v="0"/>
  </r>
  <r>
    <x v="213"/>
    <n v="449494"/>
    <s v="Henry Ratta"/>
    <n v="655684209042"/>
    <x v="1"/>
    <x v="1"/>
    <x v="1"/>
    <s v="Recurring Deposit"/>
    <x v="2"/>
    <n v="265513.02"/>
    <x v="3"/>
    <x v="181"/>
    <x v="0"/>
    <x v="213"/>
    <x v="0"/>
    <x v="10"/>
  </r>
  <r>
    <x v="214"/>
    <n v="592263"/>
    <s v="Upasna Dash"/>
    <n v="393065946926"/>
    <x v="2"/>
    <x v="3"/>
    <x v="3"/>
    <s v="Savings"/>
    <x v="0"/>
    <n v="420524.11"/>
    <x v="1"/>
    <x v="10"/>
    <x v="0"/>
    <x v="214"/>
    <x v="0"/>
    <x v="7"/>
  </r>
  <r>
    <x v="215"/>
    <n v="903080"/>
    <s v="Janani Saxena"/>
    <n v="770477101883"/>
    <x v="3"/>
    <x v="10"/>
    <x v="10"/>
    <s v="Current"/>
    <x v="2"/>
    <n v="63923.91"/>
    <x v="0"/>
    <x v="182"/>
    <x v="0"/>
    <x v="215"/>
    <x v="0"/>
    <x v="2"/>
  </r>
  <r>
    <x v="216"/>
    <n v="438809"/>
    <s v="Madhavi Sama"/>
    <n v="268345748955"/>
    <x v="1"/>
    <x v="24"/>
    <x v="24"/>
    <s v="Fixed Deposit"/>
    <x v="2"/>
    <n v="146930.62"/>
    <x v="1"/>
    <x v="183"/>
    <x v="0"/>
    <x v="216"/>
    <x v="0"/>
    <x v="0"/>
  </r>
  <r>
    <x v="217"/>
    <n v="521810"/>
    <s v="Advika Sachdev"/>
    <n v="309101241276"/>
    <x v="4"/>
    <x v="14"/>
    <x v="14"/>
    <s v="Current"/>
    <x v="1"/>
    <n v="67585.070000000007"/>
    <x v="4"/>
    <x v="184"/>
    <x v="2"/>
    <x v="217"/>
    <x v="0"/>
    <x v="1"/>
  </r>
  <r>
    <x v="218"/>
    <n v="727634"/>
    <s v="Chasmum Ganesan"/>
    <n v="543364918707"/>
    <x v="3"/>
    <x v="22"/>
    <x v="22"/>
    <s v="Savings"/>
    <x v="0"/>
    <n v="72775.399999999994"/>
    <x v="2"/>
    <x v="185"/>
    <x v="0"/>
    <x v="218"/>
    <x v="0"/>
    <x v="9"/>
  </r>
  <r>
    <x v="219"/>
    <n v="149140"/>
    <s v="Ayush Pai"/>
    <n v="319552688595"/>
    <x v="0"/>
    <x v="4"/>
    <x v="4"/>
    <s v="Current"/>
    <x v="1"/>
    <n v="34703.17"/>
    <x v="4"/>
    <x v="186"/>
    <x v="0"/>
    <x v="219"/>
    <x v="0"/>
    <x v="0"/>
  </r>
  <r>
    <x v="220"/>
    <n v="507147"/>
    <s v="Anthony Bhalla"/>
    <n v="684278087022"/>
    <x v="1"/>
    <x v="18"/>
    <x v="18"/>
    <s v="Savings"/>
    <x v="2"/>
    <n v="45309.52"/>
    <x v="3"/>
    <x v="187"/>
    <x v="2"/>
    <x v="220"/>
    <x v="0"/>
    <x v="11"/>
  </r>
  <r>
    <x v="221"/>
    <n v="196451"/>
    <s v="Indrajit Zachariah"/>
    <n v="789357220935"/>
    <x v="3"/>
    <x v="22"/>
    <x v="22"/>
    <s v="Fixed Deposit"/>
    <x v="3"/>
    <n v="417377.31"/>
    <x v="4"/>
    <x v="188"/>
    <x v="2"/>
    <x v="221"/>
    <x v="0"/>
    <x v="4"/>
  </r>
  <r>
    <x v="222"/>
    <n v="881741"/>
    <s v="Abhiram Shah"/>
    <n v="559502587824"/>
    <x v="4"/>
    <x v="15"/>
    <x v="15"/>
    <s v="Recurring Deposit"/>
    <x v="3"/>
    <n v="236145.49"/>
    <x v="1"/>
    <x v="189"/>
    <x v="0"/>
    <x v="222"/>
    <x v="0"/>
    <x v="7"/>
  </r>
  <r>
    <x v="223"/>
    <n v="441139"/>
    <s v="Arin Venkatesh"/>
    <n v="411549448636"/>
    <x v="2"/>
    <x v="3"/>
    <x v="3"/>
    <s v="Savings"/>
    <x v="0"/>
    <n v="414000.24"/>
    <x v="3"/>
    <x v="190"/>
    <x v="0"/>
    <x v="223"/>
    <x v="0"/>
    <x v="3"/>
  </r>
  <r>
    <x v="224"/>
    <n v="265807"/>
    <s v="Noah Puri"/>
    <n v="720641924691"/>
    <x v="0"/>
    <x v="4"/>
    <x v="4"/>
    <s v="Current"/>
    <x v="1"/>
    <n v="40907.24"/>
    <x v="0"/>
    <x v="191"/>
    <x v="0"/>
    <x v="224"/>
    <x v="0"/>
    <x v="0"/>
  </r>
  <r>
    <x v="225"/>
    <n v="570485"/>
    <s v="Nilima Dutt"/>
    <n v="773335459822"/>
    <x v="2"/>
    <x v="2"/>
    <x v="2"/>
    <s v="Current"/>
    <x v="2"/>
    <n v="230412.57"/>
    <x v="2"/>
    <x v="192"/>
    <x v="0"/>
    <x v="225"/>
    <x v="0"/>
    <x v="8"/>
  </r>
  <r>
    <x v="226"/>
    <n v="325170"/>
    <s v="Eta Divan"/>
    <n v="356915330199"/>
    <x v="0"/>
    <x v="11"/>
    <x v="11"/>
    <s v="Savings"/>
    <x v="3"/>
    <n v="331287.71999999997"/>
    <x v="1"/>
    <x v="193"/>
    <x v="0"/>
    <x v="226"/>
    <x v="0"/>
    <x v="7"/>
  </r>
  <r>
    <x v="227"/>
    <n v="533034"/>
    <s v="Darika Rao"/>
    <n v="393607099649"/>
    <x v="3"/>
    <x v="22"/>
    <x v="22"/>
    <s v="Fixed Deposit"/>
    <x v="3"/>
    <n v="206178.7"/>
    <x v="4"/>
    <x v="194"/>
    <x v="0"/>
    <x v="227"/>
    <x v="0"/>
    <x v="0"/>
  </r>
  <r>
    <x v="228"/>
    <n v="677618"/>
    <s v="Chakradhar Nanda"/>
    <n v="339400232530"/>
    <x v="2"/>
    <x v="16"/>
    <x v="16"/>
    <s v="Fixed Deposit"/>
    <x v="0"/>
    <n v="590927.39"/>
    <x v="2"/>
    <x v="7"/>
    <x v="0"/>
    <x v="228"/>
    <x v="0"/>
    <x v="6"/>
  </r>
  <r>
    <x v="229"/>
    <n v="630575"/>
    <s v="Jeremiah Wason"/>
    <n v="675328116160"/>
    <x v="3"/>
    <x v="21"/>
    <x v="21"/>
    <s v="Savings"/>
    <x v="3"/>
    <n v="357995.77"/>
    <x v="4"/>
    <x v="195"/>
    <x v="0"/>
    <x v="229"/>
    <x v="0"/>
    <x v="11"/>
  </r>
  <r>
    <x v="230"/>
    <n v="661610"/>
    <s v="Aarnav Dey"/>
    <n v="636266180100"/>
    <x v="0"/>
    <x v="5"/>
    <x v="5"/>
    <s v="Savings"/>
    <x v="2"/>
    <n v="125983.99"/>
    <x v="3"/>
    <x v="196"/>
    <x v="2"/>
    <x v="230"/>
    <x v="0"/>
    <x v="5"/>
  </r>
  <r>
    <x v="231"/>
    <n v="275383"/>
    <s v="Kamala Karnik"/>
    <n v="349805921639"/>
    <x v="4"/>
    <x v="12"/>
    <x v="12"/>
    <s v="Savings"/>
    <x v="3"/>
    <n v="37759.040000000001"/>
    <x v="1"/>
    <x v="9"/>
    <x v="0"/>
    <x v="231"/>
    <x v="0"/>
    <x v="3"/>
  </r>
  <r>
    <x v="232"/>
    <n v="674437"/>
    <s v="Falguni Mukhopadhyay"/>
    <n v="966380460400"/>
    <x v="1"/>
    <x v="24"/>
    <x v="24"/>
    <s v="Savings"/>
    <x v="3"/>
    <n v="470719.47"/>
    <x v="0"/>
    <x v="96"/>
    <x v="0"/>
    <x v="232"/>
    <x v="0"/>
    <x v="1"/>
  </r>
  <r>
    <x v="233"/>
    <n v="941406"/>
    <s v="Vincent Kara"/>
    <n v="148789252268"/>
    <x v="3"/>
    <x v="21"/>
    <x v="21"/>
    <s v="Current"/>
    <x v="2"/>
    <n v="229396.76"/>
    <x v="2"/>
    <x v="197"/>
    <x v="0"/>
    <x v="233"/>
    <x v="0"/>
    <x v="11"/>
  </r>
  <r>
    <x v="234"/>
    <n v="112063"/>
    <s v="Daksh Deep"/>
    <n v="963159668295"/>
    <x v="4"/>
    <x v="15"/>
    <x v="15"/>
    <s v="Current"/>
    <x v="2"/>
    <n v="263052.93"/>
    <x v="4"/>
    <x v="182"/>
    <x v="3"/>
    <x v="234"/>
    <x v="1"/>
    <x v="2"/>
  </r>
  <r>
    <x v="235"/>
    <n v="167371"/>
    <s v="Indrajit Loke"/>
    <n v="265003686340"/>
    <x v="2"/>
    <x v="6"/>
    <x v="6"/>
    <s v="Fixed Deposit"/>
    <x v="3"/>
    <n v="343900.3"/>
    <x v="3"/>
    <x v="198"/>
    <x v="3"/>
    <x v="235"/>
    <x v="0"/>
    <x v="1"/>
  </r>
  <r>
    <x v="236"/>
    <n v="163530"/>
    <s v="Oni Memon"/>
    <n v="284903006756"/>
    <x v="1"/>
    <x v="18"/>
    <x v="18"/>
    <s v="Fixed Deposit"/>
    <x v="3"/>
    <n v="141940.85999999999"/>
    <x v="0"/>
    <x v="199"/>
    <x v="1"/>
    <x v="236"/>
    <x v="0"/>
    <x v="7"/>
  </r>
  <r>
    <x v="237"/>
    <n v="450272"/>
    <s v="Rushil Nagarajan"/>
    <n v="193418652788"/>
    <x v="1"/>
    <x v="9"/>
    <x v="9"/>
    <s v="Savings"/>
    <x v="0"/>
    <n v="541143.80000000005"/>
    <x v="3"/>
    <x v="200"/>
    <x v="0"/>
    <x v="237"/>
    <x v="0"/>
    <x v="11"/>
  </r>
  <r>
    <x v="238"/>
    <n v="659251"/>
    <s v="Dhriti Batta"/>
    <n v="431187283506"/>
    <x v="4"/>
    <x v="12"/>
    <x v="12"/>
    <s v="Current"/>
    <x v="2"/>
    <n v="12025.06"/>
    <x v="3"/>
    <x v="201"/>
    <x v="3"/>
    <x v="238"/>
    <x v="0"/>
    <x v="4"/>
  </r>
  <r>
    <x v="239"/>
    <n v="117469"/>
    <s v="Lakshit Tella"/>
    <n v="145388855042"/>
    <x v="3"/>
    <x v="17"/>
    <x v="17"/>
    <s v="Current"/>
    <x v="1"/>
    <n v="55705.38"/>
    <x v="2"/>
    <x v="202"/>
    <x v="0"/>
    <x v="239"/>
    <x v="0"/>
    <x v="2"/>
  </r>
  <r>
    <x v="240"/>
    <n v="725646"/>
    <s v="Simon Bava"/>
    <n v="509479969038"/>
    <x v="1"/>
    <x v="1"/>
    <x v="1"/>
    <s v="Savings"/>
    <x v="2"/>
    <n v="259407.8"/>
    <x v="0"/>
    <x v="203"/>
    <x v="0"/>
    <x v="240"/>
    <x v="0"/>
    <x v="10"/>
  </r>
  <r>
    <x v="241"/>
    <n v="404602"/>
    <s v="Timothy Mitra"/>
    <n v="580561786132"/>
    <x v="3"/>
    <x v="10"/>
    <x v="10"/>
    <s v="Fixed Deposit"/>
    <x v="3"/>
    <n v="321922.8"/>
    <x v="4"/>
    <x v="204"/>
    <x v="0"/>
    <x v="241"/>
    <x v="0"/>
    <x v="0"/>
  </r>
  <r>
    <x v="242"/>
    <n v="725385"/>
    <s v="Yashvi Mammen"/>
    <n v="446588297457"/>
    <x v="3"/>
    <x v="7"/>
    <x v="7"/>
    <s v="Current"/>
    <x v="1"/>
    <n v="136269.56"/>
    <x v="2"/>
    <x v="205"/>
    <x v="0"/>
    <x v="242"/>
    <x v="0"/>
    <x v="0"/>
  </r>
  <r>
    <x v="243"/>
    <n v="955961"/>
    <s v="Qushi Comar"/>
    <n v="702633425078"/>
    <x v="1"/>
    <x v="18"/>
    <x v="18"/>
    <s v="Savings"/>
    <x v="2"/>
    <n v="75538.210000000006"/>
    <x v="1"/>
    <x v="206"/>
    <x v="0"/>
    <x v="243"/>
    <x v="0"/>
    <x v="8"/>
  </r>
  <r>
    <x v="244"/>
    <n v="842640"/>
    <s v="Ekanta Goel"/>
    <n v="380872047716"/>
    <x v="1"/>
    <x v="1"/>
    <x v="1"/>
    <s v="Fixed Deposit"/>
    <x v="2"/>
    <n v="153277.59"/>
    <x v="0"/>
    <x v="207"/>
    <x v="1"/>
    <x v="244"/>
    <x v="0"/>
    <x v="2"/>
  </r>
  <r>
    <x v="245"/>
    <n v="658891"/>
    <s v="Deepa Om"/>
    <n v="714751372463"/>
    <x v="2"/>
    <x v="8"/>
    <x v="8"/>
    <s v="Recurring Deposit"/>
    <x v="0"/>
    <n v="218521.3"/>
    <x v="1"/>
    <x v="208"/>
    <x v="0"/>
    <x v="245"/>
    <x v="0"/>
    <x v="6"/>
  </r>
  <r>
    <x v="246"/>
    <n v="760603"/>
    <s v="Jyoti Ravi"/>
    <n v="138839456678"/>
    <x v="2"/>
    <x v="6"/>
    <x v="6"/>
    <s v="Savings"/>
    <x v="2"/>
    <n v="217272.91"/>
    <x v="4"/>
    <x v="209"/>
    <x v="0"/>
    <x v="246"/>
    <x v="0"/>
    <x v="8"/>
  </r>
  <r>
    <x v="247"/>
    <n v="433063"/>
    <s v="Ekiya Chhabra"/>
    <n v="288046549982"/>
    <x v="3"/>
    <x v="22"/>
    <x v="22"/>
    <s v="Current"/>
    <x v="0"/>
    <n v="143368.07999999999"/>
    <x v="3"/>
    <x v="72"/>
    <x v="0"/>
    <x v="247"/>
    <x v="0"/>
    <x v="10"/>
  </r>
  <r>
    <x v="248"/>
    <n v="672763"/>
    <s v="Warhi Hayre"/>
    <n v="387905519517"/>
    <x v="3"/>
    <x v="21"/>
    <x v="21"/>
    <s v="Fixed Deposit"/>
    <x v="1"/>
    <n v="130031.31"/>
    <x v="0"/>
    <x v="169"/>
    <x v="0"/>
    <x v="248"/>
    <x v="0"/>
    <x v="8"/>
  </r>
  <r>
    <x v="249"/>
    <n v="833709"/>
    <s v="Hemang Khare"/>
    <n v="195214730525"/>
    <x v="2"/>
    <x v="8"/>
    <x v="8"/>
    <s v="Fixed Deposit"/>
    <x v="0"/>
    <n v="376737.14"/>
    <x v="3"/>
    <x v="210"/>
    <x v="0"/>
    <x v="249"/>
    <x v="0"/>
    <x v="10"/>
  </r>
  <r>
    <x v="250"/>
    <n v="730030"/>
    <s v="Baghyawati Barad"/>
    <n v="937325765058"/>
    <x v="2"/>
    <x v="6"/>
    <x v="6"/>
    <s v="Recurring Deposit"/>
    <x v="2"/>
    <n v="32866.42"/>
    <x v="4"/>
    <x v="211"/>
    <x v="0"/>
    <x v="250"/>
    <x v="0"/>
    <x v="7"/>
  </r>
  <r>
    <x v="251"/>
    <n v="973241"/>
    <s v="Jeremiah Sekhon"/>
    <n v="387860643996"/>
    <x v="0"/>
    <x v="0"/>
    <x v="0"/>
    <s v="Fixed Deposit"/>
    <x v="1"/>
    <n v="7697.03"/>
    <x v="3"/>
    <x v="212"/>
    <x v="0"/>
    <x v="251"/>
    <x v="0"/>
    <x v="6"/>
  </r>
  <r>
    <x v="252"/>
    <n v="700274"/>
    <s v="Andrew Ganesan"/>
    <n v="780371569610"/>
    <x v="0"/>
    <x v="0"/>
    <x v="0"/>
    <s v="Savings"/>
    <x v="1"/>
    <n v="131363.76999999999"/>
    <x v="0"/>
    <x v="213"/>
    <x v="1"/>
    <x v="252"/>
    <x v="0"/>
    <x v="7"/>
  </r>
  <r>
    <x v="253"/>
    <n v="585434"/>
    <s v="Teerth Thaman"/>
    <n v="422791292913"/>
    <x v="4"/>
    <x v="14"/>
    <x v="14"/>
    <s v="Savings"/>
    <x v="2"/>
    <n v="197351.19"/>
    <x v="0"/>
    <x v="214"/>
    <x v="0"/>
    <x v="253"/>
    <x v="0"/>
    <x v="6"/>
  </r>
  <r>
    <x v="254"/>
    <n v="709387"/>
    <s v="Darpan Biswas"/>
    <n v="685617653836"/>
    <x v="0"/>
    <x v="0"/>
    <x v="0"/>
    <s v="Fixed Deposit"/>
    <x v="1"/>
    <n v="116639.17"/>
    <x v="3"/>
    <x v="215"/>
    <x v="0"/>
    <x v="254"/>
    <x v="0"/>
    <x v="6"/>
  </r>
  <r>
    <x v="255"/>
    <n v="545452"/>
    <s v="Zayyan Naik"/>
    <n v="869888869752"/>
    <x v="2"/>
    <x v="16"/>
    <x v="16"/>
    <s v="Fixed Deposit"/>
    <x v="2"/>
    <n v="79661.36"/>
    <x v="0"/>
    <x v="6"/>
    <x v="0"/>
    <x v="255"/>
    <x v="0"/>
    <x v="1"/>
  </r>
  <r>
    <x v="256"/>
    <n v="809306"/>
    <s v="Aarini Shanker"/>
    <n v="317906843145"/>
    <x v="2"/>
    <x v="3"/>
    <x v="3"/>
    <s v="Current"/>
    <x v="1"/>
    <n v="75168.06"/>
    <x v="3"/>
    <x v="216"/>
    <x v="0"/>
    <x v="256"/>
    <x v="0"/>
    <x v="10"/>
  </r>
  <r>
    <x v="257"/>
    <n v="411009"/>
    <s v="Lajita Agrawal"/>
    <n v="746074720789"/>
    <x v="3"/>
    <x v="22"/>
    <x v="22"/>
    <s v="Recurring Deposit"/>
    <x v="2"/>
    <n v="129733.4"/>
    <x v="1"/>
    <x v="122"/>
    <x v="0"/>
    <x v="257"/>
    <x v="0"/>
    <x v="8"/>
  </r>
  <r>
    <x v="258"/>
    <n v="704096"/>
    <s v="Siya Narang"/>
    <n v="801626913319"/>
    <x v="4"/>
    <x v="13"/>
    <x v="13"/>
    <s v="Savings"/>
    <x v="3"/>
    <n v="59283.4"/>
    <x v="4"/>
    <x v="217"/>
    <x v="0"/>
    <x v="258"/>
    <x v="0"/>
    <x v="8"/>
  </r>
  <r>
    <x v="259"/>
    <n v="430975"/>
    <s v="Lekha Jani"/>
    <n v="552928908176"/>
    <x v="2"/>
    <x v="2"/>
    <x v="2"/>
    <s v="Current"/>
    <x v="2"/>
    <n v="157373.9"/>
    <x v="4"/>
    <x v="218"/>
    <x v="3"/>
    <x v="259"/>
    <x v="0"/>
    <x v="8"/>
  </r>
  <r>
    <x v="260"/>
    <n v="675778"/>
    <s v="Anvi Sarin"/>
    <n v="825799561602"/>
    <x v="2"/>
    <x v="3"/>
    <x v="3"/>
    <s v="Savings"/>
    <x v="3"/>
    <n v="395398.6"/>
    <x v="3"/>
    <x v="219"/>
    <x v="0"/>
    <x v="260"/>
    <x v="0"/>
    <x v="1"/>
  </r>
  <r>
    <x v="261"/>
    <n v="103977"/>
    <s v="Nimrat Patel"/>
    <n v="355613348806"/>
    <x v="4"/>
    <x v="12"/>
    <x v="12"/>
    <s v="Savings"/>
    <x v="2"/>
    <n v="92274.06"/>
    <x v="2"/>
    <x v="60"/>
    <x v="0"/>
    <x v="261"/>
    <x v="0"/>
    <x v="11"/>
  </r>
  <r>
    <x v="262"/>
    <n v="749572"/>
    <s v="Qushi Lanka"/>
    <n v="206600196087"/>
    <x v="3"/>
    <x v="10"/>
    <x v="10"/>
    <s v="Savings"/>
    <x v="3"/>
    <n v="199776.68"/>
    <x v="0"/>
    <x v="218"/>
    <x v="0"/>
    <x v="262"/>
    <x v="0"/>
    <x v="8"/>
  </r>
  <r>
    <x v="263"/>
    <n v="563828"/>
    <s v="Baghyawati Sant"/>
    <n v="124054946791"/>
    <x v="0"/>
    <x v="4"/>
    <x v="4"/>
    <s v="Current"/>
    <x v="2"/>
    <n v="284384.93"/>
    <x v="4"/>
    <x v="220"/>
    <x v="0"/>
    <x v="263"/>
    <x v="0"/>
    <x v="2"/>
  </r>
  <r>
    <x v="264"/>
    <n v="731100"/>
    <s v="Udarsh Yadav"/>
    <n v="262964581056"/>
    <x v="2"/>
    <x v="2"/>
    <x v="2"/>
    <s v="Fixed Deposit"/>
    <x v="2"/>
    <n v="98228.26"/>
    <x v="2"/>
    <x v="221"/>
    <x v="0"/>
    <x v="264"/>
    <x v="0"/>
    <x v="9"/>
  </r>
  <r>
    <x v="265"/>
    <n v="156081"/>
    <s v="Devansh Shanker"/>
    <n v="211489234529"/>
    <x v="1"/>
    <x v="23"/>
    <x v="23"/>
    <s v="Recurring Deposit"/>
    <x v="1"/>
    <n v="115176.64"/>
    <x v="1"/>
    <x v="222"/>
    <x v="2"/>
    <x v="265"/>
    <x v="0"/>
    <x v="4"/>
  </r>
  <r>
    <x v="266"/>
    <n v="776252"/>
    <s v="Darpan Dave"/>
    <n v="524989289739"/>
    <x v="3"/>
    <x v="17"/>
    <x v="17"/>
    <s v="Savings"/>
    <x v="3"/>
    <n v="466320.11"/>
    <x v="0"/>
    <x v="3"/>
    <x v="2"/>
    <x v="266"/>
    <x v="0"/>
    <x v="3"/>
  </r>
  <r>
    <x v="267"/>
    <n v="139106"/>
    <s v="Mugdha Bumb"/>
    <n v="475832206582"/>
    <x v="0"/>
    <x v="4"/>
    <x v="4"/>
    <s v="Current"/>
    <x v="2"/>
    <n v="200163.67"/>
    <x v="4"/>
    <x v="69"/>
    <x v="3"/>
    <x v="267"/>
    <x v="0"/>
    <x v="1"/>
  </r>
  <r>
    <x v="268"/>
    <n v="694119"/>
    <s v="Adweta Mitra"/>
    <n v="751228513253"/>
    <x v="3"/>
    <x v="21"/>
    <x v="21"/>
    <s v="Recurring Deposit"/>
    <x v="2"/>
    <n v="227121.19"/>
    <x v="1"/>
    <x v="223"/>
    <x v="0"/>
    <x v="268"/>
    <x v="0"/>
    <x v="6"/>
  </r>
  <r>
    <x v="269"/>
    <n v="523970"/>
    <s v="Inaya Chhabra"/>
    <n v="152931021324"/>
    <x v="0"/>
    <x v="0"/>
    <x v="0"/>
    <s v="Current"/>
    <x v="3"/>
    <n v="369861.85"/>
    <x v="0"/>
    <x v="197"/>
    <x v="1"/>
    <x v="269"/>
    <x v="0"/>
    <x v="11"/>
  </r>
  <r>
    <x v="270"/>
    <n v="962182"/>
    <s v="Shaurya Swaminathan"/>
    <n v="943603317916"/>
    <x v="0"/>
    <x v="4"/>
    <x v="4"/>
    <s v="Savings"/>
    <x v="0"/>
    <n v="381535.21"/>
    <x v="1"/>
    <x v="58"/>
    <x v="0"/>
    <x v="270"/>
    <x v="0"/>
    <x v="9"/>
  </r>
  <r>
    <x v="271"/>
    <n v="780928"/>
    <s v="Kabir Hegde"/>
    <n v="491219042136"/>
    <x v="2"/>
    <x v="6"/>
    <x v="6"/>
    <s v="Savings"/>
    <x v="1"/>
    <n v="4845.92"/>
    <x v="3"/>
    <x v="224"/>
    <x v="0"/>
    <x v="271"/>
    <x v="0"/>
    <x v="4"/>
  </r>
  <r>
    <x v="272"/>
    <n v="421539"/>
    <s v="Tanvi Ahuja"/>
    <n v="298594864896"/>
    <x v="3"/>
    <x v="10"/>
    <x v="10"/>
    <s v="Current"/>
    <x v="2"/>
    <n v="205821.35"/>
    <x v="0"/>
    <x v="225"/>
    <x v="0"/>
    <x v="272"/>
    <x v="0"/>
    <x v="0"/>
  </r>
  <r>
    <x v="273"/>
    <n v="826365"/>
    <s v="Alexander Nagarajan"/>
    <n v="497519884299"/>
    <x v="0"/>
    <x v="19"/>
    <x v="19"/>
    <s v="Fixed Deposit"/>
    <x v="0"/>
    <n v="193788.6"/>
    <x v="4"/>
    <x v="226"/>
    <x v="0"/>
    <x v="273"/>
    <x v="0"/>
    <x v="0"/>
  </r>
  <r>
    <x v="274"/>
    <n v="579900"/>
    <s v="Veda Merchant"/>
    <n v="201644180608"/>
    <x v="1"/>
    <x v="18"/>
    <x v="18"/>
    <s v="Current"/>
    <x v="1"/>
    <n v="126460.13"/>
    <x v="1"/>
    <x v="227"/>
    <x v="0"/>
    <x v="274"/>
    <x v="0"/>
    <x v="9"/>
  </r>
  <r>
    <x v="275"/>
    <n v="792044"/>
    <s v="Thomas Sidhu"/>
    <n v="608496244258"/>
    <x v="3"/>
    <x v="22"/>
    <x v="22"/>
    <s v="Recurring Deposit"/>
    <x v="3"/>
    <n v="272401.31"/>
    <x v="0"/>
    <x v="137"/>
    <x v="0"/>
    <x v="275"/>
    <x v="0"/>
    <x v="2"/>
  </r>
  <r>
    <x v="276"/>
    <n v="854536"/>
    <s v="Samuel Chanda"/>
    <n v="533388275492"/>
    <x v="4"/>
    <x v="14"/>
    <x v="14"/>
    <s v="Current"/>
    <x v="0"/>
    <n v="584071.86"/>
    <x v="0"/>
    <x v="140"/>
    <x v="0"/>
    <x v="276"/>
    <x v="0"/>
    <x v="3"/>
  </r>
  <r>
    <x v="277"/>
    <n v="247151"/>
    <s v="Nidhi Jayaraman"/>
    <n v="926782138535"/>
    <x v="1"/>
    <x v="1"/>
    <x v="1"/>
    <s v="Savings"/>
    <x v="0"/>
    <n v="314411.17"/>
    <x v="2"/>
    <x v="37"/>
    <x v="0"/>
    <x v="277"/>
    <x v="0"/>
    <x v="9"/>
  </r>
  <r>
    <x v="278"/>
    <n v="116982"/>
    <s v="Eshana Zachariah"/>
    <n v="123840092510"/>
    <x v="0"/>
    <x v="0"/>
    <x v="0"/>
    <s v="Recurring Deposit"/>
    <x v="2"/>
    <n v="11969.71"/>
    <x v="0"/>
    <x v="22"/>
    <x v="0"/>
    <x v="278"/>
    <x v="0"/>
    <x v="1"/>
  </r>
  <r>
    <x v="279"/>
    <n v="588946"/>
    <s v="Upma Sha"/>
    <n v="171963031441"/>
    <x v="3"/>
    <x v="17"/>
    <x v="17"/>
    <s v="Current"/>
    <x v="1"/>
    <n v="116669.04"/>
    <x v="0"/>
    <x v="228"/>
    <x v="0"/>
    <x v="279"/>
    <x v="0"/>
    <x v="3"/>
  </r>
  <r>
    <x v="280"/>
    <n v="316547"/>
    <s v="Ladli Madan"/>
    <n v="641936362459"/>
    <x v="3"/>
    <x v="17"/>
    <x v="17"/>
    <s v="Savings"/>
    <x v="3"/>
    <n v="443587.6"/>
    <x v="0"/>
    <x v="229"/>
    <x v="0"/>
    <x v="280"/>
    <x v="0"/>
    <x v="2"/>
  </r>
  <r>
    <x v="281"/>
    <n v="492092"/>
    <s v="Noah Bawa"/>
    <n v="564967692986"/>
    <x v="1"/>
    <x v="1"/>
    <x v="1"/>
    <s v="Recurring Deposit"/>
    <x v="2"/>
    <n v="101848.93"/>
    <x v="1"/>
    <x v="12"/>
    <x v="0"/>
    <x v="281"/>
    <x v="0"/>
    <x v="8"/>
  </r>
  <r>
    <x v="282"/>
    <n v="689047"/>
    <s v="Ojasvi Sani"/>
    <n v="494929654093"/>
    <x v="0"/>
    <x v="19"/>
    <x v="19"/>
    <s v="Current"/>
    <x v="1"/>
    <n v="10185.450000000001"/>
    <x v="1"/>
    <x v="230"/>
    <x v="0"/>
    <x v="282"/>
    <x v="0"/>
    <x v="11"/>
  </r>
  <r>
    <x v="283"/>
    <n v="362079"/>
    <s v="Pranit More"/>
    <n v="119549755173"/>
    <x v="3"/>
    <x v="21"/>
    <x v="21"/>
    <s v="Recurring Deposit"/>
    <x v="1"/>
    <n v="1553.42"/>
    <x v="0"/>
    <x v="143"/>
    <x v="0"/>
    <x v="283"/>
    <x v="0"/>
    <x v="8"/>
  </r>
  <r>
    <x v="284"/>
    <n v="856677"/>
    <s v="Netra Puri"/>
    <n v="124406358417"/>
    <x v="1"/>
    <x v="24"/>
    <x v="24"/>
    <s v="Recurring Deposit"/>
    <x v="1"/>
    <n v="60785.43"/>
    <x v="3"/>
    <x v="231"/>
    <x v="0"/>
    <x v="284"/>
    <x v="0"/>
    <x v="10"/>
  </r>
  <r>
    <x v="285"/>
    <n v="740300"/>
    <s v="Anmol Bandi"/>
    <n v="994560173406"/>
    <x v="0"/>
    <x v="0"/>
    <x v="0"/>
    <s v="Savings"/>
    <x v="3"/>
    <n v="26356.89"/>
    <x v="3"/>
    <x v="232"/>
    <x v="0"/>
    <x v="285"/>
    <x v="0"/>
    <x v="6"/>
  </r>
  <r>
    <x v="286"/>
    <n v="879380"/>
    <s v="Kiaan Kuruvilla"/>
    <n v="136882903943"/>
    <x v="2"/>
    <x v="16"/>
    <x v="16"/>
    <s v="Fixed Deposit"/>
    <x v="3"/>
    <n v="426792.12"/>
    <x v="0"/>
    <x v="233"/>
    <x v="0"/>
    <x v="286"/>
    <x v="0"/>
    <x v="3"/>
  </r>
  <r>
    <x v="287"/>
    <n v="801581"/>
    <s v="Nachiket Sarna"/>
    <n v="217777372658"/>
    <x v="0"/>
    <x v="19"/>
    <x v="19"/>
    <s v="Savings"/>
    <x v="3"/>
    <n v="491742.99"/>
    <x v="0"/>
    <x v="234"/>
    <x v="0"/>
    <x v="287"/>
    <x v="0"/>
    <x v="8"/>
  </r>
  <r>
    <x v="288"/>
    <n v="961459"/>
    <s v="Ayushman Nadig"/>
    <n v="437188099042"/>
    <x v="3"/>
    <x v="10"/>
    <x v="10"/>
    <s v="Savings"/>
    <x v="3"/>
    <n v="189663.01"/>
    <x v="3"/>
    <x v="235"/>
    <x v="0"/>
    <x v="288"/>
    <x v="0"/>
    <x v="8"/>
  </r>
  <r>
    <x v="289"/>
    <n v="942595"/>
    <s v="Thomas Sundaram"/>
    <n v="883282254049"/>
    <x v="2"/>
    <x v="8"/>
    <x v="8"/>
    <s v="Recurring Deposit"/>
    <x v="2"/>
    <n v="236628.52"/>
    <x v="3"/>
    <x v="236"/>
    <x v="0"/>
    <x v="289"/>
    <x v="0"/>
    <x v="10"/>
  </r>
  <r>
    <x v="290"/>
    <n v="775026"/>
    <s v="Gayathri Dugar"/>
    <n v="462284198068"/>
    <x v="4"/>
    <x v="15"/>
    <x v="15"/>
    <s v="Recurring Deposit"/>
    <x v="0"/>
    <n v="210645.38"/>
    <x v="2"/>
    <x v="105"/>
    <x v="0"/>
    <x v="290"/>
    <x v="0"/>
    <x v="4"/>
  </r>
  <r>
    <x v="291"/>
    <n v="433250"/>
    <s v="Dhriti Chokshi"/>
    <n v="123226173461"/>
    <x v="0"/>
    <x v="19"/>
    <x v="19"/>
    <s v="Recurring Deposit"/>
    <x v="0"/>
    <n v="290735.08"/>
    <x v="4"/>
    <x v="153"/>
    <x v="0"/>
    <x v="291"/>
    <x v="0"/>
    <x v="9"/>
  </r>
  <r>
    <x v="292"/>
    <n v="363910"/>
    <s v="Lohit Memon"/>
    <n v="677482806646"/>
    <x v="3"/>
    <x v="7"/>
    <x v="7"/>
    <s v="Savings"/>
    <x v="3"/>
    <n v="56566.32"/>
    <x v="4"/>
    <x v="237"/>
    <x v="0"/>
    <x v="292"/>
    <x v="0"/>
    <x v="9"/>
  </r>
  <r>
    <x v="293"/>
    <n v="665314"/>
    <s v="Baghyawati Kale"/>
    <n v="420857447807"/>
    <x v="3"/>
    <x v="7"/>
    <x v="7"/>
    <s v="Savings"/>
    <x v="1"/>
    <n v="128481.44"/>
    <x v="0"/>
    <x v="238"/>
    <x v="0"/>
    <x v="293"/>
    <x v="0"/>
    <x v="1"/>
  </r>
  <r>
    <x v="294"/>
    <n v="560593"/>
    <s v="Anya Dasgupta"/>
    <n v="242581856250"/>
    <x v="0"/>
    <x v="5"/>
    <x v="5"/>
    <s v="Current"/>
    <x v="3"/>
    <n v="342352.78"/>
    <x v="3"/>
    <x v="239"/>
    <x v="0"/>
    <x v="294"/>
    <x v="0"/>
    <x v="0"/>
  </r>
  <r>
    <x v="295"/>
    <n v="818431"/>
    <s v="Umang Dutt"/>
    <n v="134008821990"/>
    <x v="0"/>
    <x v="4"/>
    <x v="4"/>
    <s v="Savings"/>
    <x v="1"/>
    <n v="85345.93"/>
    <x v="2"/>
    <x v="240"/>
    <x v="0"/>
    <x v="295"/>
    <x v="1"/>
    <x v="6"/>
  </r>
  <r>
    <x v="296"/>
    <n v="866770"/>
    <s v="Meghana Vasa"/>
    <n v="151051425844"/>
    <x v="3"/>
    <x v="17"/>
    <x v="17"/>
    <s v="Recurring Deposit"/>
    <x v="2"/>
    <n v="79519.039999999994"/>
    <x v="1"/>
    <x v="241"/>
    <x v="0"/>
    <x v="296"/>
    <x v="0"/>
    <x v="0"/>
  </r>
  <r>
    <x v="297"/>
    <n v="372542"/>
    <s v="Urvi Ganesan"/>
    <n v="289947365975"/>
    <x v="1"/>
    <x v="1"/>
    <x v="1"/>
    <s v="Current"/>
    <x v="0"/>
    <n v="158595.54999999999"/>
    <x v="1"/>
    <x v="242"/>
    <x v="0"/>
    <x v="297"/>
    <x v="0"/>
    <x v="7"/>
  </r>
  <r>
    <x v="298"/>
    <n v="953804"/>
    <s v="Yahvi Nori"/>
    <n v="241139363334"/>
    <x v="1"/>
    <x v="23"/>
    <x v="23"/>
    <s v="Current"/>
    <x v="3"/>
    <n v="97285.9"/>
    <x v="2"/>
    <x v="243"/>
    <x v="0"/>
    <x v="298"/>
    <x v="0"/>
    <x v="6"/>
  </r>
  <r>
    <x v="299"/>
    <n v="916955"/>
    <s v="Raghav Lata"/>
    <n v="635029319031"/>
    <x v="3"/>
    <x v="7"/>
    <x v="7"/>
    <s v="Recurring Deposit"/>
    <x v="3"/>
    <n v="126634.62"/>
    <x v="1"/>
    <x v="244"/>
    <x v="0"/>
    <x v="299"/>
    <x v="0"/>
    <x v="10"/>
  </r>
  <r>
    <x v="300"/>
    <n v="977193"/>
    <s v="Darpan Bose"/>
    <n v="268490351527"/>
    <x v="4"/>
    <x v="13"/>
    <x v="13"/>
    <s v="Fixed Deposit"/>
    <x v="1"/>
    <n v="21877.29"/>
    <x v="4"/>
    <x v="245"/>
    <x v="0"/>
    <x v="300"/>
    <x v="0"/>
    <x v="0"/>
  </r>
  <r>
    <x v="301"/>
    <n v="432558"/>
    <s v="Meghana Chaudhry"/>
    <n v="584318320202"/>
    <x v="4"/>
    <x v="14"/>
    <x v="14"/>
    <s v="Recurring Deposit"/>
    <x v="0"/>
    <n v="252929.01"/>
    <x v="3"/>
    <x v="246"/>
    <x v="0"/>
    <x v="301"/>
    <x v="0"/>
    <x v="5"/>
  </r>
  <r>
    <x v="302"/>
    <n v="240903"/>
    <s v="Damini Mammen"/>
    <n v="139932947699"/>
    <x v="3"/>
    <x v="17"/>
    <x v="17"/>
    <s v="Current"/>
    <x v="1"/>
    <n v="25588.29"/>
    <x v="0"/>
    <x v="203"/>
    <x v="0"/>
    <x v="302"/>
    <x v="0"/>
    <x v="10"/>
  </r>
  <r>
    <x v="303"/>
    <n v="155800"/>
    <s v="Tarak Chahal"/>
    <n v="172987559056"/>
    <x v="1"/>
    <x v="18"/>
    <x v="18"/>
    <s v="Current"/>
    <x v="3"/>
    <n v="488550.1"/>
    <x v="4"/>
    <x v="21"/>
    <x v="0"/>
    <x v="303"/>
    <x v="0"/>
    <x v="2"/>
  </r>
  <r>
    <x v="304"/>
    <n v="288231"/>
    <s v="Sathvik Banerjee"/>
    <n v="275740728802"/>
    <x v="1"/>
    <x v="23"/>
    <x v="23"/>
    <s v="Recurring Deposit"/>
    <x v="0"/>
    <n v="95620.89"/>
    <x v="1"/>
    <x v="183"/>
    <x v="0"/>
    <x v="304"/>
    <x v="0"/>
    <x v="0"/>
  </r>
  <r>
    <x v="305"/>
    <n v="990243"/>
    <s v="Nakul Shan"/>
    <n v="549737898101"/>
    <x v="4"/>
    <x v="20"/>
    <x v="20"/>
    <s v="Recurring Deposit"/>
    <x v="2"/>
    <n v="201991.8"/>
    <x v="4"/>
    <x v="247"/>
    <x v="0"/>
    <x v="305"/>
    <x v="0"/>
    <x v="0"/>
  </r>
  <r>
    <x v="306"/>
    <n v="311363"/>
    <s v="Gaurangi Chaudhry"/>
    <n v="985206008802"/>
    <x v="2"/>
    <x v="3"/>
    <x v="3"/>
    <s v="Current"/>
    <x v="0"/>
    <n v="460250.13"/>
    <x v="4"/>
    <x v="202"/>
    <x v="0"/>
    <x v="306"/>
    <x v="1"/>
    <x v="2"/>
  </r>
  <r>
    <x v="307"/>
    <n v="462822"/>
    <s v="Bachittar Palla"/>
    <n v="119278894333"/>
    <x v="0"/>
    <x v="4"/>
    <x v="4"/>
    <s v="Recurring Deposit"/>
    <x v="3"/>
    <n v="13160.06"/>
    <x v="0"/>
    <x v="248"/>
    <x v="0"/>
    <x v="307"/>
    <x v="0"/>
    <x v="9"/>
  </r>
  <r>
    <x v="308"/>
    <n v="712345"/>
    <s v="Neel Bali"/>
    <n v="279271808282"/>
    <x v="2"/>
    <x v="2"/>
    <x v="2"/>
    <s v="Fixed Deposit"/>
    <x v="0"/>
    <n v="525074.59"/>
    <x v="0"/>
    <x v="249"/>
    <x v="0"/>
    <x v="308"/>
    <x v="0"/>
    <x v="11"/>
  </r>
  <r>
    <x v="309"/>
    <n v="113883"/>
    <s v="Advika Mall"/>
    <n v="823851213066"/>
    <x v="2"/>
    <x v="2"/>
    <x v="2"/>
    <s v="Savings"/>
    <x v="2"/>
    <n v="124890"/>
    <x v="3"/>
    <x v="250"/>
    <x v="0"/>
    <x v="309"/>
    <x v="0"/>
    <x v="7"/>
  </r>
  <r>
    <x v="310"/>
    <n v="339747"/>
    <s v="Kai Pandya"/>
    <n v="702582639068"/>
    <x v="3"/>
    <x v="22"/>
    <x v="22"/>
    <s v="Fixed Deposit"/>
    <x v="3"/>
    <n v="96128.29"/>
    <x v="4"/>
    <x v="251"/>
    <x v="0"/>
    <x v="310"/>
    <x v="0"/>
    <x v="2"/>
  </r>
  <r>
    <x v="311"/>
    <n v="124171"/>
    <s v="Chatresh Issac"/>
    <n v="103490076984"/>
    <x v="4"/>
    <x v="13"/>
    <x v="13"/>
    <s v="Savings"/>
    <x v="2"/>
    <n v="78134.240000000005"/>
    <x v="0"/>
    <x v="53"/>
    <x v="0"/>
    <x v="311"/>
    <x v="0"/>
    <x v="1"/>
  </r>
  <r>
    <x v="312"/>
    <n v="805755"/>
    <s v="Jai Choudhry"/>
    <n v="490291230378"/>
    <x v="4"/>
    <x v="20"/>
    <x v="20"/>
    <s v="Recurring Deposit"/>
    <x v="0"/>
    <n v="112622.64"/>
    <x v="4"/>
    <x v="252"/>
    <x v="1"/>
    <x v="312"/>
    <x v="0"/>
    <x v="9"/>
  </r>
  <r>
    <x v="313"/>
    <n v="596468"/>
    <s v="Omya Parsa"/>
    <n v="772077329179"/>
    <x v="3"/>
    <x v="10"/>
    <x v="10"/>
    <s v="Recurring Deposit"/>
    <x v="3"/>
    <n v="406595"/>
    <x v="3"/>
    <x v="198"/>
    <x v="0"/>
    <x v="313"/>
    <x v="0"/>
    <x v="1"/>
  </r>
  <r>
    <x v="314"/>
    <n v="111146"/>
    <s v="Aadhya Sagar"/>
    <n v="555859409829"/>
    <x v="4"/>
    <x v="15"/>
    <x v="15"/>
    <s v="Current"/>
    <x v="1"/>
    <n v="67907.710000000006"/>
    <x v="0"/>
    <x v="253"/>
    <x v="0"/>
    <x v="314"/>
    <x v="0"/>
    <x v="5"/>
  </r>
  <r>
    <x v="315"/>
    <n v="479530"/>
    <s v="Rachana Radhakrishnan"/>
    <n v="724249667582"/>
    <x v="4"/>
    <x v="13"/>
    <x v="13"/>
    <s v="Current"/>
    <x v="1"/>
    <n v="7625.81"/>
    <x v="1"/>
    <x v="254"/>
    <x v="0"/>
    <x v="315"/>
    <x v="0"/>
    <x v="2"/>
  </r>
  <r>
    <x v="316"/>
    <n v="937519"/>
    <s v="Abhimanyu Khalsa"/>
    <n v="902094706216"/>
    <x v="3"/>
    <x v="21"/>
    <x v="21"/>
    <s v="Recurring Deposit"/>
    <x v="0"/>
    <n v="24749.02"/>
    <x v="2"/>
    <x v="82"/>
    <x v="0"/>
    <x v="316"/>
    <x v="0"/>
    <x v="9"/>
  </r>
  <r>
    <x v="317"/>
    <n v="557246"/>
    <s v="Rayaan Bhattacharyya"/>
    <n v="565539620553"/>
    <x v="0"/>
    <x v="0"/>
    <x v="0"/>
    <s v="Savings"/>
    <x v="1"/>
    <n v="46462.29"/>
    <x v="4"/>
    <x v="255"/>
    <x v="0"/>
    <x v="317"/>
    <x v="0"/>
    <x v="8"/>
  </r>
  <r>
    <x v="318"/>
    <n v="959323"/>
    <s v="Varenya Dhaliwal"/>
    <n v="432335197720"/>
    <x v="1"/>
    <x v="18"/>
    <x v="18"/>
    <s v="Fixed Deposit"/>
    <x v="3"/>
    <n v="306121.71000000002"/>
    <x v="3"/>
    <x v="256"/>
    <x v="0"/>
    <x v="318"/>
    <x v="0"/>
    <x v="9"/>
  </r>
  <r>
    <x v="319"/>
    <n v="931835"/>
    <s v="Aachal Mann"/>
    <n v="130206487294"/>
    <x v="2"/>
    <x v="8"/>
    <x v="8"/>
    <s v="Current"/>
    <x v="1"/>
    <n v="26846.38"/>
    <x v="1"/>
    <x v="257"/>
    <x v="0"/>
    <x v="319"/>
    <x v="0"/>
    <x v="9"/>
  </r>
  <r>
    <x v="320"/>
    <n v="181715"/>
    <s v="Umang Gokhale"/>
    <n v="924632714359"/>
    <x v="0"/>
    <x v="0"/>
    <x v="0"/>
    <s v="Recurring Deposit"/>
    <x v="0"/>
    <n v="181640.7"/>
    <x v="4"/>
    <x v="258"/>
    <x v="0"/>
    <x v="320"/>
    <x v="0"/>
    <x v="10"/>
  </r>
  <r>
    <x v="321"/>
    <n v="300670"/>
    <s v="Amaira Shankar"/>
    <n v="477182324308"/>
    <x v="4"/>
    <x v="13"/>
    <x v="13"/>
    <s v="Savings"/>
    <x v="3"/>
    <n v="17763.02"/>
    <x v="4"/>
    <x v="214"/>
    <x v="0"/>
    <x v="321"/>
    <x v="0"/>
    <x v="6"/>
  </r>
  <r>
    <x v="322"/>
    <n v="405161"/>
    <s v="Ishani Uppal"/>
    <n v="476384442388"/>
    <x v="4"/>
    <x v="14"/>
    <x v="14"/>
    <s v="Current"/>
    <x v="0"/>
    <n v="367978.86"/>
    <x v="0"/>
    <x v="87"/>
    <x v="0"/>
    <x v="322"/>
    <x v="0"/>
    <x v="8"/>
  </r>
  <r>
    <x v="323"/>
    <n v="981665"/>
    <s v="Vasana Dhar"/>
    <n v="126907120490"/>
    <x v="2"/>
    <x v="16"/>
    <x v="16"/>
    <s v="Recurring Deposit"/>
    <x v="0"/>
    <n v="212325.1"/>
    <x v="0"/>
    <x v="71"/>
    <x v="0"/>
    <x v="323"/>
    <x v="0"/>
    <x v="0"/>
  </r>
  <r>
    <x v="324"/>
    <n v="355753"/>
    <s v="Aradhana Parmar"/>
    <n v="882143942859"/>
    <x v="0"/>
    <x v="11"/>
    <x v="11"/>
    <s v="Fixed Deposit"/>
    <x v="1"/>
    <n v="47698.28"/>
    <x v="1"/>
    <x v="259"/>
    <x v="0"/>
    <x v="324"/>
    <x v="0"/>
    <x v="6"/>
  </r>
  <r>
    <x v="325"/>
    <n v="159266"/>
    <s v="Divya Din"/>
    <n v="133268629842"/>
    <x v="1"/>
    <x v="9"/>
    <x v="9"/>
    <s v="Savings"/>
    <x v="2"/>
    <n v="163974.37"/>
    <x v="0"/>
    <x v="98"/>
    <x v="0"/>
    <x v="325"/>
    <x v="0"/>
    <x v="8"/>
  </r>
  <r>
    <x v="326"/>
    <n v="879301"/>
    <s v="Charan Borra"/>
    <n v="433805514591"/>
    <x v="2"/>
    <x v="3"/>
    <x v="3"/>
    <s v="Current"/>
    <x v="0"/>
    <n v="189190.47"/>
    <x v="2"/>
    <x v="260"/>
    <x v="0"/>
    <x v="326"/>
    <x v="0"/>
    <x v="8"/>
  </r>
  <r>
    <x v="327"/>
    <n v="116476"/>
    <s v="Rishi Lanka"/>
    <n v="406498403510"/>
    <x v="4"/>
    <x v="20"/>
    <x v="20"/>
    <s v="Recurring Deposit"/>
    <x v="3"/>
    <n v="129890.57"/>
    <x v="0"/>
    <x v="261"/>
    <x v="0"/>
    <x v="327"/>
    <x v="0"/>
    <x v="8"/>
  </r>
  <r>
    <x v="328"/>
    <n v="981915"/>
    <s v="Anthony Balakrishnan"/>
    <n v="577554548613"/>
    <x v="1"/>
    <x v="18"/>
    <x v="18"/>
    <s v="Recurring Deposit"/>
    <x v="2"/>
    <n v="254514.65"/>
    <x v="3"/>
    <x v="51"/>
    <x v="0"/>
    <x v="328"/>
    <x v="0"/>
    <x v="4"/>
  </r>
  <r>
    <x v="329"/>
    <n v="569629"/>
    <s v="Naveen Sachdeva"/>
    <n v="884210811039"/>
    <x v="3"/>
    <x v="21"/>
    <x v="21"/>
    <s v="Recurring Deposit"/>
    <x v="1"/>
    <n v="95419.02"/>
    <x v="4"/>
    <x v="262"/>
    <x v="0"/>
    <x v="329"/>
    <x v="0"/>
    <x v="10"/>
  </r>
  <r>
    <x v="330"/>
    <n v="143218"/>
    <s v="Rudra Ravel"/>
    <n v="428200261572"/>
    <x v="2"/>
    <x v="16"/>
    <x v="16"/>
    <s v="Current"/>
    <x v="1"/>
    <n v="58414.13"/>
    <x v="4"/>
    <x v="196"/>
    <x v="0"/>
    <x v="330"/>
    <x v="0"/>
    <x v="5"/>
  </r>
  <r>
    <x v="331"/>
    <n v="985381"/>
    <s v="Krish Nagy"/>
    <n v="113639393827"/>
    <x v="4"/>
    <x v="14"/>
    <x v="14"/>
    <s v="Recurring Deposit"/>
    <x v="3"/>
    <n v="469814.95"/>
    <x v="3"/>
    <x v="189"/>
    <x v="1"/>
    <x v="331"/>
    <x v="0"/>
    <x v="7"/>
  </r>
  <r>
    <x v="332"/>
    <n v="894517"/>
    <s v="Udant Pau"/>
    <n v="633651930756"/>
    <x v="1"/>
    <x v="24"/>
    <x v="24"/>
    <s v="Fixed Deposit"/>
    <x v="3"/>
    <n v="202988.35"/>
    <x v="2"/>
    <x v="263"/>
    <x v="0"/>
    <x v="332"/>
    <x v="0"/>
    <x v="3"/>
  </r>
  <r>
    <x v="333"/>
    <n v="179518"/>
    <s v="Kalpit Prabhakar"/>
    <n v="388268391021"/>
    <x v="2"/>
    <x v="6"/>
    <x v="6"/>
    <s v="Recurring Deposit"/>
    <x v="1"/>
    <n v="68829.84"/>
    <x v="1"/>
    <x v="264"/>
    <x v="0"/>
    <x v="333"/>
    <x v="0"/>
    <x v="9"/>
  </r>
  <r>
    <x v="334"/>
    <n v="224498"/>
    <s v="Lakshmi Batra"/>
    <n v="600039500647"/>
    <x v="1"/>
    <x v="1"/>
    <x v="1"/>
    <s v="Current"/>
    <x v="0"/>
    <n v="276312.31"/>
    <x v="2"/>
    <x v="265"/>
    <x v="0"/>
    <x v="334"/>
    <x v="0"/>
    <x v="3"/>
  </r>
  <r>
    <x v="335"/>
    <n v="373993"/>
    <s v="Balhaar Suri"/>
    <n v="434312755539"/>
    <x v="4"/>
    <x v="14"/>
    <x v="14"/>
    <s v="Recurring Deposit"/>
    <x v="1"/>
    <n v="7769.1"/>
    <x v="1"/>
    <x v="266"/>
    <x v="0"/>
    <x v="335"/>
    <x v="0"/>
    <x v="11"/>
  </r>
  <r>
    <x v="336"/>
    <n v="445390"/>
    <s v="Adweta Rastogi"/>
    <n v="834906079344"/>
    <x v="3"/>
    <x v="22"/>
    <x v="22"/>
    <s v="Fixed Deposit"/>
    <x v="0"/>
    <n v="496927.6"/>
    <x v="4"/>
    <x v="93"/>
    <x v="0"/>
    <x v="336"/>
    <x v="0"/>
    <x v="5"/>
  </r>
  <r>
    <x v="337"/>
    <n v="392598"/>
    <s v="Gavin Sinha"/>
    <n v="507228613971"/>
    <x v="4"/>
    <x v="14"/>
    <x v="14"/>
    <s v="Fixed Deposit"/>
    <x v="1"/>
    <n v="26907.46"/>
    <x v="4"/>
    <x v="130"/>
    <x v="0"/>
    <x v="337"/>
    <x v="0"/>
    <x v="11"/>
  </r>
  <r>
    <x v="338"/>
    <n v="627322"/>
    <s v="Tristan Bera"/>
    <n v="197653048874"/>
    <x v="4"/>
    <x v="20"/>
    <x v="20"/>
    <s v="Recurring Deposit"/>
    <x v="3"/>
    <n v="381840.68"/>
    <x v="3"/>
    <x v="39"/>
    <x v="1"/>
    <x v="338"/>
    <x v="0"/>
    <x v="10"/>
  </r>
  <r>
    <x v="339"/>
    <n v="674507"/>
    <s v="Vasatika Bhandari"/>
    <n v="365343466726"/>
    <x v="2"/>
    <x v="8"/>
    <x v="8"/>
    <s v="Savings"/>
    <x v="2"/>
    <n v="123684.75"/>
    <x v="0"/>
    <x v="267"/>
    <x v="0"/>
    <x v="339"/>
    <x v="0"/>
    <x v="2"/>
  </r>
  <r>
    <x v="340"/>
    <n v="572980"/>
    <s v="Jagvi Pillay"/>
    <n v="184613706984"/>
    <x v="3"/>
    <x v="21"/>
    <x v="21"/>
    <s v="Savings"/>
    <x v="2"/>
    <n v="78611.759999999995"/>
    <x v="0"/>
    <x v="268"/>
    <x v="2"/>
    <x v="340"/>
    <x v="0"/>
    <x v="0"/>
  </r>
  <r>
    <x v="341"/>
    <n v="364377"/>
    <s v="Manbir Loyal"/>
    <n v="669037054253"/>
    <x v="1"/>
    <x v="9"/>
    <x v="9"/>
    <s v="Current"/>
    <x v="1"/>
    <n v="121347.74"/>
    <x v="3"/>
    <x v="269"/>
    <x v="2"/>
    <x v="341"/>
    <x v="0"/>
    <x v="11"/>
  </r>
  <r>
    <x v="342"/>
    <n v="989898"/>
    <s v="Banjeet Kadakia"/>
    <n v="304809259360"/>
    <x v="1"/>
    <x v="23"/>
    <x v="23"/>
    <s v="Fixed Deposit"/>
    <x v="1"/>
    <n v="51703.81"/>
    <x v="3"/>
    <x v="270"/>
    <x v="0"/>
    <x v="342"/>
    <x v="0"/>
    <x v="1"/>
  </r>
  <r>
    <x v="343"/>
    <n v="390792"/>
    <s v="Dhriti Dasgupta"/>
    <n v="815931680958"/>
    <x v="0"/>
    <x v="4"/>
    <x v="4"/>
    <s v="Recurring Deposit"/>
    <x v="2"/>
    <n v="163533.1"/>
    <x v="3"/>
    <x v="130"/>
    <x v="0"/>
    <x v="343"/>
    <x v="0"/>
    <x v="11"/>
  </r>
  <r>
    <x v="344"/>
    <n v="409468"/>
    <s v="Balhaar Chadha"/>
    <n v="385357726132"/>
    <x v="1"/>
    <x v="23"/>
    <x v="23"/>
    <s v="Fixed Deposit"/>
    <x v="2"/>
    <n v="273026.71000000002"/>
    <x v="0"/>
    <x v="271"/>
    <x v="0"/>
    <x v="344"/>
    <x v="0"/>
    <x v="5"/>
  </r>
  <r>
    <x v="345"/>
    <n v="980642"/>
    <s v="Brinda Korpal"/>
    <n v="100768524152"/>
    <x v="2"/>
    <x v="2"/>
    <x v="2"/>
    <s v="Savings"/>
    <x v="2"/>
    <n v="7411.04"/>
    <x v="3"/>
    <x v="28"/>
    <x v="0"/>
    <x v="345"/>
    <x v="0"/>
    <x v="4"/>
  </r>
  <r>
    <x v="346"/>
    <n v="547953"/>
    <s v="Rudra Dhar"/>
    <n v="284180983285"/>
    <x v="1"/>
    <x v="1"/>
    <x v="1"/>
    <s v="Current"/>
    <x v="1"/>
    <n v="4390.57"/>
    <x v="2"/>
    <x v="162"/>
    <x v="0"/>
    <x v="346"/>
    <x v="0"/>
    <x v="2"/>
  </r>
  <r>
    <x v="347"/>
    <n v="740305"/>
    <s v="Chanchal Trivedi"/>
    <n v="242642960021"/>
    <x v="1"/>
    <x v="24"/>
    <x v="24"/>
    <s v="Savings"/>
    <x v="3"/>
    <n v="256573.7"/>
    <x v="1"/>
    <x v="272"/>
    <x v="2"/>
    <x v="347"/>
    <x v="0"/>
    <x v="4"/>
  </r>
  <r>
    <x v="348"/>
    <n v="427894"/>
    <s v="Laksh Hayre"/>
    <n v="870186363718"/>
    <x v="4"/>
    <x v="14"/>
    <x v="14"/>
    <s v="Current"/>
    <x v="2"/>
    <n v="192646.23"/>
    <x v="4"/>
    <x v="273"/>
    <x v="0"/>
    <x v="348"/>
    <x v="0"/>
    <x v="9"/>
  </r>
  <r>
    <x v="349"/>
    <n v="586706"/>
    <s v="Lekha Sanghvi"/>
    <n v="386125421772"/>
    <x v="3"/>
    <x v="21"/>
    <x v="21"/>
    <s v="Recurring Deposit"/>
    <x v="2"/>
    <n v="245014.75"/>
    <x v="3"/>
    <x v="85"/>
    <x v="0"/>
    <x v="349"/>
    <x v="0"/>
    <x v="11"/>
  </r>
  <r>
    <x v="350"/>
    <n v="684987"/>
    <s v="Anjali Sha"/>
    <n v="462363293377"/>
    <x v="3"/>
    <x v="10"/>
    <x v="10"/>
    <s v="Recurring Deposit"/>
    <x v="3"/>
    <n v="498754.84"/>
    <x v="0"/>
    <x v="274"/>
    <x v="0"/>
    <x v="350"/>
    <x v="0"/>
    <x v="3"/>
  </r>
  <r>
    <x v="351"/>
    <n v="718664"/>
    <s v="Pooja Dhawan"/>
    <n v="283341172763"/>
    <x v="2"/>
    <x v="3"/>
    <x v="3"/>
    <s v="Recurring Deposit"/>
    <x v="2"/>
    <n v="223897.88"/>
    <x v="0"/>
    <x v="275"/>
    <x v="0"/>
    <x v="351"/>
    <x v="0"/>
    <x v="6"/>
  </r>
  <r>
    <x v="352"/>
    <n v="361462"/>
    <s v="Kamya Devan"/>
    <n v="605459164624"/>
    <x v="3"/>
    <x v="21"/>
    <x v="21"/>
    <s v="Fixed Deposit"/>
    <x v="1"/>
    <n v="133808.04"/>
    <x v="1"/>
    <x v="98"/>
    <x v="0"/>
    <x v="352"/>
    <x v="0"/>
    <x v="8"/>
  </r>
  <r>
    <x v="353"/>
    <n v="633665"/>
    <s v="Damyanti Sem"/>
    <n v="198565706740"/>
    <x v="2"/>
    <x v="8"/>
    <x v="8"/>
    <s v="Current"/>
    <x v="1"/>
    <n v="45421.34"/>
    <x v="3"/>
    <x v="240"/>
    <x v="0"/>
    <x v="353"/>
    <x v="0"/>
    <x v="6"/>
  </r>
  <r>
    <x v="354"/>
    <n v="894189"/>
    <s v="Jagat Palan"/>
    <n v="261191347516"/>
    <x v="4"/>
    <x v="14"/>
    <x v="14"/>
    <s v="Fixed Deposit"/>
    <x v="0"/>
    <n v="172113.86"/>
    <x v="3"/>
    <x v="276"/>
    <x v="0"/>
    <x v="354"/>
    <x v="0"/>
    <x v="7"/>
  </r>
  <r>
    <x v="355"/>
    <n v="475202"/>
    <s v="Nathan Ramanathan"/>
    <n v="263661783529"/>
    <x v="4"/>
    <x v="20"/>
    <x v="20"/>
    <s v="Fixed Deposit"/>
    <x v="1"/>
    <n v="78597.94"/>
    <x v="0"/>
    <x v="277"/>
    <x v="0"/>
    <x v="355"/>
    <x v="0"/>
    <x v="9"/>
  </r>
  <r>
    <x v="356"/>
    <n v="853516"/>
    <s v="Pranit Kota"/>
    <n v="909642409332"/>
    <x v="2"/>
    <x v="3"/>
    <x v="3"/>
    <s v="Recurring Deposit"/>
    <x v="2"/>
    <n v="2034.23"/>
    <x v="2"/>
    <x v="278"/>
    <x v="1"/>
    <x v="356"/>
    <x v="0"/>
    <x v="3"/>
  </r>
  <r>
    <x v="357"/>
    <n v="150512"/>
    <s v="Vasatika Bali"/>
    <n v="947252500435"/>
    <x v="3"/>
    <x v="17"/>
    <x v="17"/>
    <s v="Current"/>
    <x v="1"/>
    <n v="145852.56"/>
    <x v="0"/>
    <x v="279"/>
    <x v="0"/>
    <x v="357"/>
    <x v="0"/>
    <x v="3"/>
  </r>
  <r>
    <x v="358"/>
    <n v="114174"/>
    <s v="Pranav Sastry"/>
    <n v="503389519825"/>
    <x v="3"/>
    <x v="17"/>
    <x v="17"/>
    <s v="Recurring Deposit"/>
    <x v="0"/>
    <n v="505150.86"/>
    <x v="3"/>
    <x v="280"/>
    <x v="0"/>
    <x v="358"/>
    <x v="0"/>
    <x v="7"/>
  </r>
  <r>
    <x v="359"/>
    <n v="815415"/>
    <s v="Niharika Deo"/>
    <n v="707425693401"/>
    <x v="1"/>
    <x v="18"/>
    <x v="18"/>
    <s v="Fixed Deposit"/>
    <x v="2"/>
    <n v="263485.11"/>
    <x v="3"/>
    <x v="281"/>
    <x v="0"/>
    <x v="359"/>
    <x v="0"/>
    <x v="6"/>
  </r>
  <r>
    <x v="360"/>
    <n v="332907"/>
    <s v="Yashvi Tiwari"/>
    <n v="775725282488"/>
    <x v="0"/>
    <x v="4"/>
    <x v="4"/>
    <s v="Savings"/>
    <x v="3"/>
    <n v="477061.46"/>
    <x v="1"/>
    <x v="27"/>
    <x v="0"/>
    <x v="360"/>
    <x v="1"/>
    <x v="5"/>
  </r>
  <r>
    <x v="361"/>
    <n v="888086"/>
    <s v="Harinakshi Sarin"/>
    <n v="396619643095"/>
    <x v="0"/>
    <x v="0"/>
    <x v="0"/>
    <s v="Fixed Deposit"/>
    <x v="1"/>
    <n v="89540.74"/>
    <x v="0"/>
    <x v="126"/>
    <x v="0"/>
    <x v="361"/>
    <x v="0"/>
    <x v="2"/>
  </r>
  <r>
    <x v="362"/>
    <n v="344715"/>
    <s v="Quincy Lata"/>
    <n v="662042689096"/>
    <x v="4"/>
    <x v="20"/>
    <x v="20"/>
    <s v="Savings"/>
    <x v="0"/>
    <n v="377204.37"/>
    <x v="2"/>
    <x v="282"/>
    <x v="0"/>
    <x v="362"/>
    <x v="0"/>
    <x v="4"/>
  </r>
  <r>
    <x v="363"/>
    <n v="475616"/>
    <s v="Alexander Bhasin"/>
    <n v="174971552064"/>
    <x v="3"/>
    <x v="22"/>
    <x v="22"/>
    <s v="Fixed Deposit"/>
    <x v="2"/>
    <n v="5600"/>
    <x v="3"/>
    <x v="54"/>
    <x v="0"/>
    <x v="363"/>
    <x v="0"/>
    <x v="6"/>
  </r>
  <r>
    <x v="364"/>
    <n v="219887"/>
    <s v="Baghyawati Dhar"/>
    <n v="718917028742"/>
    <x v="4"/>
    <x v="13"/>
    <x v="13"/>
    <s v="Recurring Deposit"/>
    <x v="2"/>
    <n v="218817.69"/>
    <x v="3"/>
    <x v="196"/>
    <x v="1"/>
    <x v="364"/>
    <x v="0"/>
    <x v="5"/>
  </r>
  <r>
    <x v="365"/>
    <n v="374263"/>
    <s v="Amaira Kumer"/>
    <n v="676729996656"/>
    <x v="4"/>
    <x v="12"/>
    <x v="12"/>
    <s v="Recurring Deposit"/>
    <x v="3"/>
    <n v="332941.88"/>
    <x v="0"/>
    <x v="283"/>
    <x v="0"/>
    <x v="365"/>
    <x v="0"/>
    <x v="9"/>
  </r>
  <r>
    <x v="366"/>
    <n v="223924"/>
    <s v="Widisha Sharaf"/>
    <n v="667714778462"/>
    <x v="2"/>
    <x v="2"/>
    <x v="2"/>
    <s v="Current"/>
    <x v="3"/>
    <n v="103224.63"/>
    <x v="0"/>
    <x v="284"/>
    <x v="0"/>
    <x v="366"/>
    <x v="0"/>
    <x v="7"/>
  </r>
  <r>
    <x v="367"/>
    <n v="539350"/>
    <s v="Tanveer Amble"/>
    <n v="733606955563"/>
    <x v="1"/>
    <x v="23"/>
    <x v="23"/>
    <s v="Recurring Deposit"/>
    <x v="3"/>
    <n v="82653.77"/>
    <x v="3"/>
    <x v="285"/>
    <x v="0"/>
    <x v="367"/>
    <x v="0"/>
    <x v="5"/>
  </r>
  <r>
    <x v="368"/>
    <n v="405648"/>
    <s v="Balveer Mitra"/>
    <n v="360522614619"/>
    <x v="0"/>
    <x v="11"/>
    <x v="11"/>
    <s v="Recurring Deposit"/>
    <x v="1"/>
    <n v="78021.990000000005"/>
    <x v="2"/>
    <x v="286"/>
    <x v="0"/>
    <x v="368"/>
    <x v="0"/>
    <x v="11"/>
  </r>
  <r>
    <x v="369"/>
    <n v="479949"/>
    <s v="Ekani Tandon"/>
    <n v="175860036084"/>
    <x v="1"/>
    <x v="23"/>
    <x v="23"/>
    <s v="Current"/>
    <x v="1"/>
    <n v="27892.53"/>
    <x v="1"/>
    <x v="287"/>
    <x v="0"/>
    <x v="369"/>
    <x v="0"/>
    <x v="4"/>
  </r>
  <r>
    <x v="370"/>
    <n v="387939"/>
    <s v="Kavya Sharaf"/>
    <n v="260103738581"/>
    <x v="1"/>
    <x v="9"/>
    <x v="9"/>
    <s v="Fixed Deposit"/>
    <x v="1"/>
    <n v="19862"/>
    <x v="4"/>
    <x v="54"/>
    <x v="3"/>
    <x v="370"/>
    <x v="0"/>
    <x v="6"/>
  </r>
  <r>
    <x v="371"/>
    <n v="529371"/>
    <s v="Anmol Uppal"/>
    <n v="696398414197"/>
    <x v="2"/>
    <x v="2"/>
    <x v="2"/>
    <s v="Fixed Deposit"/>
    <x v="1"/>
    <n v="78464.289999999994"/>
    <x v="2"/>
    <x v="288"/>
    <x v="0"/>
    <x v="371"/>
    <x v="0"/>
    <x v="10"/>
  </r>
  <r>
    <x v="372"/>
    <n v="990194"/>
    <s v="Xavier Basu"/>
    <n v="493757512103"/>
    <x v="2"/>
    <x v="6"/>
    <x v="6"/>
    <s v="Savings"/>
    <x v="1"/>
    <n v="142933.76999999999"/>
    <x v="0"/>
    <x v="289"/>
    <x v="0"/>
    <x v="372"/>
    <x v="0"/>
    <x v="10"/>
  </r>
  <r>
    <x v="373"/>
    <n v="970064"/>
    <s v="Owen Bedi"/>
    <n v="653060642611"/>
    <x v="2"/>
    <x v="2"/>
    <x v="2"/>
    <s v="Savings"/>
    <x v="3"/>
    <n v="151050.63"/>
    <x v="4"/>
    <x v="290"/>
    <x v="2"/>
    <x v="373"/>
    <x v="1"/>
    <x v="2"/>
  </r>
  <r>
    <x v="374"/>
    <n v="466409"/>
    <s v="Eiravati Seshadri"/>
    <n v="881453879458"/>
    <x v="4"/>
    <x v="12"/>
    <x v="12"/>
    <s v="Savings"/>
    <x v="0"/>
    <n v="87369.06"/>
    <x v="2"/>
    <x v="291"/>
    <x v="0"/>
    <x v="374"/>
    <x v="0"/>
    <x v="2"/>
  </r>
  <r>
    <x v="375"/>
    <n v="691233"/>
    <s v="Henry Nigam"/>
    <n v="591674302857"/>
    <x v="3"/>
    <x v="22"/>
    <x v="22"/>
    <s v="Recurring Deposit"/>
    <x v="0"/>
    <n v="466117.12"/>
    <x v="3"/>
    <x v="152"/>
    <x v="0"/>
    <x v="375"/>
    <x v="0"/>
    <x v="11"/>
  </r>
  <r>
    <x v="376"/>
    <n v="923020"/>
    <s v="Hemani Dutta"/>
    <n v="989318539943"/>
    <x v="1"/>
    <x v="24"/>
    <x v="24"/>
    <s v="Savings"/>
    <x v="3"/>
    <n v="352951.84"/>
    <x v="0"/>
    <x v="192"/>
    <x v="1"/>
    <x v="376"/>
    <x v="0"/>
    <x v="8"/>
  </r>
  <r>
    <x v="377"/>
    <n v="690626"/>
    <s v="Yasti Nayak"/>
    <n v="223709347082"/>
    <x v="3"/>
    <x v="7"/>
    <x v="7"/>
    <s v="Current"/>
    <x v="2"/>
    <n v="119830.79"/>
    <x v="3"/>
    <x v="35"/>
    <x v="0"/>
    <x v="377"/>
    <x v="0"/>
    <x v="8"/>
  </r>
  <r>
    <x v="378"/>
    <n v="459550"/>
    <s v="Balendra Dalal"/>
    <n v="798399336730"/>
    <x v="2"/>
    <x v="6"/>
    <x v="6"/>
    <s v="Recurring Deposit"/>
    <x v="3"/>
    <n v="186576.31"/>
    <x v="3"/>
    <x v="292"/>
    <x v="0"/>
    <x v="378"/>
    <x v="0"/>
    <x v="11"/>
  </r>
  <r>
    <x v="379"/>
    <n v="954780"/>
    <s v="Lekha Karnik"/>
    <n v="791330814917"/>
    <x v="0"/>
    <x v="19"/>
    <x v="19"/>
    <s v="Recurring Deposit"/>
    <x v="2"/>
    <n v="189202.98"/>
    <x v="0"/>
    <x v="293"/>
    <x v="0"/>
    <x v="379"/>
    <x v="0"/>
    <x v="6"/>
  </r>
  <r>
    <x v="380"/>
    <n v="171459"/>
    <s v="Brinda Desai"/>
    <n v="135190882700"/>
    <x v="0"/>
    <x v="0"/>
    <x v="0"/>
    <s v="Fixed Deposit"/>
    <x v="2"/>
    <n v="102192.65"/>
    <x v="3"/>
    <x v="179"/>
    <x v="0"/>
    <x v="380"/>
    <x v="0"/>
    <x v="8"/>
  </r>
  <r>
    <x v="381"/>
    <n v="568881"/>
    <s v="Elijah Basak"/>
    <n v="470200000951"/>
    <x v="0"/>
    <x v="0"/>
    <x v="0"/>
    <s v="Fixed Deposit"/>
    <x v="1"/>
    <n v="20767.88"/>
    <x v="1"/>
    <x v="294"/>
    <x v="0"/>
    <x v="381"/>
    <x v="0"/>
    <x v="5"/>
  </r>
  <r>
    <x v="382"/>
    <n v="179714"/>
    <s v="Barkha Naidu"/>
    <n v="501001062311"/>
    <x v="2"/>
    <x v="3"/>
    <x v="3"/>
    <s v="Recurring Deposit"/>
    <x v="1"/>
    <n v="84312.88"/>
    <x v="3"/>
    <x v="295"/>
    <x v="0"/>
    <x v="382"/>
    <x v="0"/>
    <x v="9"/>
  </r>
  <r>
    <x v="383"/>
    <n v="507234"/>
    <s v="Yachana Mitra"/>
    <n v="878851872657"/>
    <x v="4"/>
    <x v="14"/>
    <x v="14"/>
    <s v="Current"/>
    <x v="0"/>
    <n v="50275.6"/>
    <x v="3"/>
    <x v="296"/>
    <x v="0"/>
    <x v="383"/>
    <x v="0"/>
    <x v="4"/>
  </r>
  <r>
    <x v="384"/>
    <n v="943899"/>
    <s v="Raksha Kari"/>
    <n v="474125754877"/>
    <x v="4"/>
    <x v="13"/>
    <x v="13"/>
    <s v="Recurring Deposit"/>
    <x v="0"/>
    <n v="59673.87"/>
    <x v="4"/>
    <x v="57"/>
    <x v="0"/>
    <x v="384"/>
    <x v="0"/>
    <x v="6"/>
  </r>
  <r>
    <x v="385"/>
    <n v="722523"/>
    <s v="Ikshita Kakar"/>
    <n v="498653114225"/>
    <x v="0"/>
    <x v="11"/>
    <x v="11"/>
    <s v="Recurring Deposit"/>
    <x v="0"/>
    <n v="332407.67"/>
    <x v="3"/>
    <x v="297"/>
    <x v="0"/>
    <x v="385"/>
    <x v="0"/>
    <x v="8"/>
  </r>
  <r>
    <x v="386"/>
    <n v="427315"/>
    <s v="Gaurika Bora"/>
    <n v="638707911830"/>
    <x v="0"/>
    <x v="4"/>
    <x v="4"/>
    <s v="Fixed Deposit"/>
    <x v="3"/>
    <n v="350133.78"/>
    <x v="4"/>
    <x v="227"/>
    <x v="0"/>
    <x v="386"/>
    <x v="0"/>
    <x v="9"/>
  </r>
  <r>
    <x v="387"/>
    <n v="528399"/>
    <s v="Aachal Dugar"/>
    <n v="255848490692"/>
    <x v="3"/>
    <x v="10"/>
    <x v="10"/>
    <s v="Savings"/>
    <x v="1"/>
    <n v="23309.68"/>
    <x v="4"/>
    <x v="135"/>
    <x v="0"/>
    <x v="387"/>
    <x v="0"/>
    <x v="3"/>
  </r>
  <r>
    <x v="388"/>
    <n v="464910"/>
    <s v="Anjali Goel"/>
    <n v="539041777767"/>
    <x v="2"/>
    <x v="2"/>
    <x v="2"/>
    <s v="Recurring Deposit"/>
    <x v="2"/>
    <n v="286156.07"/>
    <x v="1"/>
    <x v="39"/>
    <x v="2"/>
    <x v="388"/>
    <x v="0"/>
    <x v="10"/>
  </r>
  <r>
    <x v="389"/>
    <n v="524813"/>
    <s v="Fitan Sane"/>
    <n v="845243604313"/>
    <x v="4"/>
    <x v="20"/>
    <x v="20"/>
    <s v="Savings"/>
    <x v="0"/>
    <n v="363834.7"/>
    <x v="1"/>
    <x v="298"/>
    <x v="0"/>
    <x v="389"/>
    <x v="0"/>
    <x v="10"/>
  </r>
  <r>
    <x v="390"/>
    <n v="530475"/>
    <s v="Anusha Vora"/>
    <n v="810813549197"/>
    <x v="1"/>
    <x v="24"/>
    <x v="24"/>
    <s v="Recurring Deposit"/>
    <x v="0"/>
    <n v="138404.46"/>
    <x v="3"/>
    <x v="299"/>
    <x v="0"/>
    <x v="390"/>
    <x v="0"/>
    <x v="1"/>
  </r>
  <r>
    <x v="391"/>
    <n v="842079"/>
    <s v="Dayita Ramaswamy"/>
    <n v="185744473826"/>
    <x v="4"/>
    <x v="12"/>
    <x v="12"/>
    <s v="Current"/>
    <x v="3"/>
    <n v="174088.39"/>
    <x v="4"/>
    <x v="198"/>
    <x v="0"/>
    <x v="391"/>
    <x v="0"/>
    <x v="1"/>
  </r>
  <r>
    <x v="392"/>
    <n v="316483"/>
    <s v="Nitesh Dixit"/>
    <n v="370264472621"/>
    <x v="3"/>
    <x v="22"/>
    <x v="22"/>
    <s v="Fixed Deposit"/>
    <x v="3"/>
    <n v="17664.689999999999"/>
    <x v="3"/>
    <x v="78"/>
    <x v="0"/>
    <x v="392"/>
    <x v="0"/>
    <x v="0"/>
  </r>
  <r>
    <x v="393"/>
    <n v="167811"/>
    <s v="Urmi Mand"/>
    <n v="268731699044"/>
    <x v="4"/>
    <x v="15"/>
    <x v="15"/>
    <s v="Current"/>
    <x v="3"/>
    <n v="35630.32"/>
    <x v="0"/>
    <x v="300"/>
    <x v="0"/>
    <x v="393"/>
    <x v="0"/>
    <x v="10"/>
  </r>
  <r>
    <x v="394"/>
    <n v="734296"/>
    <s v="Nikita Bahl"/>
    <n v="929691446167"/>
    <x v="0"/>
    <x v="0"/>
    <x v="0"/>
    <s v="Current"/>
    <x v="3"/>
    <n v="373735.38"/>
    <x v="3"/>
    <x v="301"/>
    <x v="0"/>
    <x v="394"/>
    <x v="0"/>
    <x v="0"/>
  </r>
  <r>
    <x v="395"/>
    <n v="807933"/>
    <s v="Krishna Sangha"/>
    <n v="137391799979"/>
    <x v="2"/>
    <x v="8"/>
    <x v="8"/>
    <s v="Fixed Deposit"/>
    <x v="2"/>
    <n v="274709.48"/>
    <x v="3"/>
    <x v="152"/>
    <x v="0"/>
    <x v="395"/>
    <x v="0"/>
    <x v="11"/>
  </r>
  <r>
    <x v="396"/>
    <n v="595797"/>
    <s v="Geetika Dewan"/>
    <n v="206574366417"/>
    <x v="3"/>
    <x v="21"/>
    <x v="21"/>
    <s v="Recurring Deposit"/>
    <x v="1"/>
    <n v="47207.39"/>
    <x v="1"/>
    <x v="302"/>
    <x v="0"/>
    <x v="396"/>
    <x v="0"/>
    <x v="11"/>
  </r>
  <r>
    <x v="397"/>
    <n v="638327"/>
    <s v="Triya Tailor"/>
    <n v="886848235656"/>
    <x v="3"/>
    <x v="17"/>
    <x v="17"/>
    <s v="Fixed Deposit"/>
    <x v="2"/>
    <n v="53920.36"/>
    <x v="3"/>
    <x v="303"/>
    <x v="0"/>
    <x v="397"/>
    <x v="0"/>
    <x v="9"/>
  </r>
  <r>
    <x v="398"/>
    <n v="154017"/>
    <s v="Vedhika Kaur"/>
    <n v="399275894137"/>
    <x v="3"/>
    <x v="17"/>
    <x v="17"/>
    <s v="Recurring Deposit"/>
    <x v="2"/>
    <n v="10220.280000000001"/>
    <x v="4"/>
    <x v="233"/>
    <x v="0"/>
    <x v="398"/>
    <x v="0"/>
    <x v="3"/>
  </r>
  <r>
    <x v="399"/>
    <n v="764808"/>
    <s v="Chanchal Sundaram"/>
    <n v="790847728908"/>
    <x v="4"/>
    <x v="13"/>
    <x v="13"/>
    <s v="Fixed Deposit"/>
    <x v="2"/>
    <n v="206210.04"/>
    <x v="3"/>
    <x v="304"/>
    <x v="0"/>
    <x v="399"/>
    <x v="0"/>
    <x v="11"/>
  </r>
  <r>
    <x v="400"/>
    <n v="423000"/>
    <s v="Shivani Anne"/>
    <n v="920735094027"/>
    <x v="3"/>
    <x v="22"/>
    <x v="22"/>
    <s v="Fixed Deposit"/>
    <x v="2"/>
    <n v="215474.39"/>
    <x v="2"/>
    <x v="155"/>
    <x v="0"/>
    <x v="400"/>
    <x v="0"/>
    <x v="1"/>
  </r>
  <r>
    <x v="401"/>
    <n v="130377"/>
    <s v="Ucchal Char"/>
    <n v="985849548224"/>
    <x v="2"/>
    <x v="8"/>
    <x v="8"/>
    <s v="Current"/>
    <x v="2"/>
    <n v="70527.759999999995"/>
    <x v="1"/>
    <x v="236"/>
    <x v="0"/>
    <x v="401"/>
    <x v="0"/>
    <x v="10"/>
  </r>
  <r>
    <x v="402"/>
    <n v="460288"/>
    <s v="Dhruv Koshy"/>
    <n v="843965511244"/>
    <x v="4"/>
    <x v="20"/>
    <x v="20"/>
    <s v="Fixed Deposit"/>
    <x v="0"/>
    <n v="512577"/>
    <x v="1"/>
    <x v="147"/>
    <x v="0"/>
    <x v="402"/>
    <x v="0"/>
    <x v="11"/>
  </r>
  <r>
    <x v="403"/>
    <n v="965955"/>
    <s v="Yatan Kumar"/>
    <n v="737028625937"/>
    <x v="4"/>
    <x v="14"/>
    <x v="14"/>
    <s v="Fixed Deposit"/>
    <x v="2"/>
    <n v="155790.78"/>
    <x v="1"/>
    <x v="305"/>
    <x v="2"/>
    <x v="403"/>
    <x v="0"/>
    <x v="6"/>
  </r>
  <r>
    <x v="404"/>
    <n v="118796"/>
    <s v="Udarsh Gill"/>
    <n v="680174339647"/>
    <x v="4"/>
    <x v="14"/>
    <x v="14"/>
    <s v="Recurring Deposit"/>
    <x v="1"/>
    <n v="65204.76"/>
    <x v="0"/>
    <x v="306"/>
    <x v="0"/>
    <x v="404"/>
    <x v="0"/>
    <x v="6"/>
  </r>
  <r>
    <x v="405"/>
    <n v="812461"/>
    <s v="Chanakya Bora"/>
    <n v="913958837565"/>
    <x v="1"/>
    <x v="24"/>
    <x v="24"/>
    <s v="Current"/>
    <x v="1"/>
    <n v="99147.16"/>
    <x v="3"/>
    <x v="307"/>
    <x v="0"/>
    <x v="405"/>
    <x v="0"/>
    <x v="2"/>
  </r>
  <r>
    <x v="406"/>
    <n v="655225"/>
    <s v="Harinakshi Dhillon"/>
    <n v="653731524065"/>
    <x v="1"/>
    <x v="23"/>
    <x v="23"/>
    <s v="Savings"/>
    <x v="0"/>
    <n v="380588.13"/>
    <x v="1"/>
    <x v="308"/>
    <x v="0"/>
    <x v="406"/>
    <x v="0"/>
    <x v="5"/>
  </r>
  <r>
    <x v="407"/>
    <n v="761846"/>
    <s v="Yash Dayal"/>
    <n v="847891210164"/>
    <x v="1"/>
    <x v="9"/>
    <x v="9"/>
    <s v="Current"/>
    <x v="3"/>
    <n v="15732.38"/>
    <x v="4"/>
    <x v="309"/>
    <x v="0"/>
    <x v="407"/>
    <x v="1"/>
    <x v="2"/>
  </r>
  <r>
    <x v="408"/>
    <n v="603602"/>
    <s v="Warinder Mitra"/>
    <n v="214912003953"/>
    <x v="1"/>
    <x v="23"/>
    <x v="23"/>
    <s v="Current"/>
    <x v="2"/>
    <n v="66658.89"/>
    <x v="1"/>
    <x v="310"/>
    <x v="0"/>
    <x v="408"/>
    <x v="0"/>
    <x v="3"/>
  </r>
  <r>
    <x v="409"/>
    <n v="771785"/>
    <s v="Arunima Babu"/>
    <n v="160325421103"/>
    <x v="1"/>
    <x v="1"/>
    <x v="1"/>
    <s v="Fixed Deposit"/>
    <x v="3"/>
    <n v="15483.43"/>
    <x v="0"/>
    <x v="311"/>
    <x v="0"/>
    <x v="409"/>
    <x v="0"/>
    <x v="5"/>
  </r>
  <r>
    <x v="410"/>
    <n v="690698"/>
    <s v="Hardik Kuruvilla"/>
    <n v="602975157401"/>
    <x v="1"/>
    <x v="1"/>
    <x v="1"/>
    <s v="Recurring Deposit"/>
    <x v="0"/>
    <n v="188855.58"/>
    <x v="1"/>
    <x v="312"/>
    <x v="0"/>
    <x v="410"/>
    <x v="0"/>
    <x v="2"/>
  </r>
  <r>
    <x v="411"/>
    <n v="509024"/>
    <s v="Ishanvi Sandhu"/>
    <n v="942224459011"/>
    <x v="1"/>
    <x v="24"/>
    <x v="24"/>
    <s v="Recurring Deposit"/>
    <x v="0"/>
    <n v="360614.5"/>
    <x v="4"/>
    <x v="313"/>
    <x v="0"/>
    <x v="411"/>
    <x v="0"/>
    <x v="2"/>
  </r>
  <r>
    <x v="412"/>
    <n v="659674"/>
    <s v="Kabir Dass"/>
    <n v="834218669029"/>
    <x v="3"/>
    <x v="10"/>
    <x v="10"/>
    <s v="Current"/>
    <x v="0"/>
    <n v="473663.77"/>
    <x v="3"/>
    <x v="158"/>
    <x v="0"/>
    <x v="412"/>
    <x v="0"/>
    <x v="6"/>
  </r>
  <r>
    <x v="413"/>
    <n v="147203"/>
    <s v="Yoshita Sangha"/>
    <n v="554908105827"/>
    <x v="1"/>
    <x v="23"/>
    <x v="23"/>
    <s v="Savings"/>
    <x v="3"/>
    <n v="98802.85"/>
    <x v="0"/>
    <x v="268"/>
    <x v="0"/>
    <x v="413"/>
    <x v="0"/>
    <x v="0"/>
  </r>
  <r>
    <x v="414"/>
    <n v="780768"/>
    <s v="Aditya Pai"/>
    <n v="815919059377"/>
    <x v="4"/>
    <x v="14"/>
    <x v="14"/>
    <s v="Fixed Deposit"/>
    <x v="3"/>
    <n v="28863.24"/>
    <x v="1"/>
    <x v="314"/>
    <x v="0"/>
    <x v="414"/>
    <x v="0"/>
    <x v="4"/>
  </r>
  <r>
    <x v="415"/>
    <n v="904317"/>
    <s v="Unnati Singh"/>
    <n v="634833077589"/>
    <x v="4"/>
    <x v="15"/>
    <x v="15"/>
    <s v="Current"/>
    <x v="1"/>
    <n v="75640.210000000006"/>
    <x v="1"/>
    <x v="315"/>
    <x v="0"/>
    <x v="415"/>
    <x v="0"/>
    <x v="7"/>
  </r>
  <r>
    <x v="416"/>
    <n v="994371"/>
    <s v="Radhika Sharaf"/>
    <n v="681386364839"/>
    <x v="1"/>
    <x v="18"/>
    <x v="18"/>
    <s v="Savings"/>
    <x v="3"/>
    <n v="25989.27"/>
    <x v="3"/>
    <x v="126"/>
    <x v="0"/>
    <x v="416"/>
    <x v="0"/>
    <x v="2"/>
  </r>
  <r>
    <x v="417"/>
    <n v="544541"/>
    <s v="Diya Babu"/>
    <n v="339699282348"/>
    <x v="4"/>
    <x v="14"/>
    <x v="14"/>
    <s v="Recurring Deposit"/>
    <x v="0"/>
    <n v="306077.19"/>
    <x v="3"/>
    <x v="316"/>
    <x v="0"/>
    <x v="417"/>
    <x v="0"/>
    <x v="0"/>
  </r>
  <r>
    <x v="418"/>
    <n v="814098"/>
    <s v="Jyoti Bansal"/>
    <n v="634498445905"/>
    <x v="1"/>
    <x v="24"/>
    <x v="24"/>
    <s v="Fixed Deposit"/>
    <x v="2"/>
    <n v="278744.09999999998"/>
    <x v="1"/>
    <x v="2"/>
    <x v="0"/>
    <x v="418"/>
    <x v="0"/>
    <x v="2"/>
  </r>
  <r>
    <x v="419"/>
    <n v="362469"/>
    <s v="Abeer Chandran"/>
    <n v="574613910418"/>
    <x v="0"/>
    <x v="4"/>
    <x v="4"/>
    <s v="Current"/>
    <x v="1"/>
    <n v="19889.240000000002"/>
    <x v="0"/>
    <x v="317"/>
    <x v="0"/>
    <x v="419"/>
    <x v="0"/>
    <x v="0"/>
  </r>
  <r>
    <x v="420"/>
    <n v="156651"/>
    <s v="Radha Viswanathan"/>
    <n v="712831351149"/>
    <x v="3"/>
    <x v="10"/>
    <x v="10"/>
    <s v="Recurring Deposit"/>
    <x v="2"/>
    <n v="211790.53"/>
    <x v="4"/>
    <x v="318"/>
    <x v="0"/>
    <x v="420"/>
    <x v="0"/>
    <x v="1"/>
  </r>
  <r>
    <x v="421"/>
    <n v="223991"/>
    <s v="Christopher Dhawan"/>
    <n v="925585552693"/>
    <x v="0"/>
    <x v="5"/>
    <x v="5"/>
    <s v="Fixed Deposit"/>
    <x v="0"/>
    <n v="419123.96"/>
    <x v="4"/>
    <x v="241"/>
    <x v="0"/>
    <x v="421"/>
    <x v="0"/>
    <x v="0"/>
  </r>
  <r>
    <x v="422"/>
    <n v="381958"/>
    <s v="Bhavani Ahluwalia"/>
    <n v="503095894291"/>
    <x v="3"/>
    <x v="10"/>
    <x v="10"/>
    <s v="Recurring Deposit"/>
    <x v="2"/>
    <n v="221952.99"/>
    <x v="3"/>
    <x v="315"/>
    <x v="0"/>
    <x v="422"/>
    <x v="0"/>
    <x v="7"/>
  </r>
  <r>
    <x v="423"/>
    <n v="888870"/>
    <s v="Niharika Lata"/>
    <n v="455614151118"/>
    <x v="4"/>
    <x v="14"/>
    <x v="14"/>
    <s v="Savings"/>
    <x v="0"/>
    <n v="174567.42"/>
    <x v="3"/>
    <x v="319"/>
    <x v="0"/>
    <x v="423"/>
    <x v="0"/>
    <x v="4"/>
  </r>
  <r>
    <x v="424"/>
    <n v="194074"/>
    <s v="Samuel Sama"/>
    <n v="370100981708"/>
    <x v="0"/>
    <x v="5"/>
    <x v="5"/>
    <s v="Recurring Deposit"/>
    <x v="1"/>
    <n v="34180.81"/>
    <x v="4"/>
    <x v="320"/>
    <x v="0"/>
    <x v="424"/>
    <x v="0"/>
    <x v="1"/>
  </r>
  <r>
    <x v="425"/>
    <n v="870636"/>
    <s v="Samaksh Chatterjee"/>
    <n v="265725559669"/>
    <x v="2"/>
    <x v="3"/>
    <x v="3"/>
    <s v="Savings"/>
    <x v="0"/>
    <n v="204879.07"/>
    <x v="4"/>
    <x v="237"/>
    <x v="0"/>
    <x v="425"/>
    <x v="0"/>
    <x v="9"/>
  </r>
  <r>
    <x v="426"/>
    <n v="417871"/>
    <s v="Janaki Modi"/>
    <n v="340570703401"/>
    <x v="0"/>
    <x v="19"/>
    <x v="19"/>
    <s v="Current"/>
    <x v="3"/>
    <n v="126048.15"/>
    <x v="1"/>
    <x v="148"/>
    <x v="0"/>
    <x v="426"/>
    <x v="0"/>
    <x v="3"/>
  </r>
  <r>
    <x v="427"/>
    <n v="514407"/>
    <s v="Akshay Gera"/>
    <n v="675036663044"/>
    <x v="4"/>
    <x v="15"/>
    <x v="15"/>
    <s v="Savings"/>
    <x v="2"/>
    <n v="94591.93"/>
    <x v="2"/>
    <x v="321"/>
    <x v="0"/>
    <x v="427"/>
    <x v="0"/>
    <x v="7"/>
  </r>
  <r>
    <x v="428"/>
    <n v="356658"/>
    <s v="Madhavi Rastogi"/>
    <n v="605418878157"/>
    <x v="4"/>
    <x v="13"/>
    <x v="13"/>
    <s v="Savings"/>
    <x v="0"/>
    <n v="40155.279999999999"/>
    <x v="1"/>
    <x v="322"/>
    <x v="0"/>
    <x v="428"/>
    <x v="0"/>
    <x v="1"/>
  </r>
  <r>
    <x v="429"/>
    <n v="256689"/>
    <s v="Vyanjana Kapoor"/>
    <n v="597626604290"/>
    <x v="0"/>
    <x v="11"/>
    <x v="11"/>
    <s v="Current"/>
    <x v="0"/>
    <n v="269846.56"/>
    <x v="1"/>
    <x v="296"/>
    <x v="0"/>
    <x v="429"/>
    <x v="0"/>
    <x v="4"/>
  </r>
  <r>
    <x v="430"/>
    <n v="172968"/>
    <s v="Mitesh Deep"/>
    <n v="223152974785"/>
    <x v="4"/>
    <x v="12"/>
    <x v="12"/>
    <s v="Recurring Deposit"/>
    <x v="2"/>
    <n v="6453.41"/>
    <x v="4"/>
    <x v="164"/>
    <x v="0"/>
    <x v="430"/>
    <x v="0"/>
    <x v="10"/>
  </r>
  <r>
    <x v="431"/>
    <n v="473572"/>
    <s v="Kamya Rao"/>
    <n v="862059035512"/>
    <x v="2"/>
    <x v="6"/>
    <x v="6"/>
    <s v="Current"/>
    <x v="0"/>
    <n v="378135.91"/>
    <x v="2"/>
    <x v="323"/>
    <x v="0"/>
    <x v="431"/>
    <x v="0"/>
    <x v="3"/>
  </r>
  <r>
    <x v="432"/>
    <n v="727196"/>
    <s v="Megha Rau"/>
    <n v="213803806556"/>
    <x v="0"/>
    <x v="19"/>
    <x v="19"/>
    <s v="Fixed Deposit"/>
    <x v="2"/>
    <n v="162015.07"/>
    <x v="2"/>
    <x v="324"/>
    <x v="2"/>
    <x v="432"/>
    <x v="0"/>
    <x v="3"/>
  </r>
  <r>
    <x v="433"/>
    <n v="310437"/>
    <s v="Indrajit Rai"/>
    <n v="619311161355"/>
    <x v="1"/>
    <x v="23"/>
    <x v="23"/>
    <s v="Fixed Deposit"/>
    <x v="2"/>
    <n v="86822.48"/>
    <x v="1"/>
    <x v="325"/>
    <x v="0"/>
    <x v="433"/>
    <x v="0"/>
    <x v="9"/>
  </r>
  <r>
    <x v="434"/>
    <n v="446826"/>
    <s v="Charita Devan"/>
    <n v="369238077065"/>
    <x v="0"/>
    <x v="19"/>
    <x v="19"/>
    <s v="Recurring Deposit"/>
    <x v="1"/>
    <n v="27058.35"/>
    <x v="4"/>
    <x v="326"/>
    <x v="0"/>
    <x v="434"/>
    <x v="0"/>
    <x v="9"/>
  </r>
  <r>
    <x v="435"/>
    <n v="330179"/>
    <s v="Finn Shere"/>
    <n v="507751770849"/>
    <x v="2"/>
    <x v="6"/>
    <x v="6"/>
    <s v="Savings"/>
    <x v="1"/>
    <n v="86561.53"/>
    <x v="1"/>
    <x v="233"/>
    <x v="0"/>
    <x v="435"/>
    <x v="0"/>
    <x v="3"/>
  </r>
  <r>
    <x v="436"/>
    <n v="129665"/>
    <s v="Azaan Rai"/>
    <n v="685732683411"/>
    <x v="4"/>
    <x v="14"/>
    <x v="14"/>
    <s v="Savings"/>
    <x v="1"/>
    <n v="110972.64"/>
    <x v="3"/>
    <x v="48"/>
    <x v="0"/>
    <x v="436"/>
    <x v="0"/>
    <x v="8"/>
  </r>
  <r>
    <x v="437"/>
    <n v="366999"/>
    <s v="Saumya Nayar"/>
    <n v="105097624705"/>
    <x v="0"/>
    <x v="19"/>
    <x v="19"/>
    <s v="Recurring Deposit"/>
    <x v="2"/>
    <n v="6574.26"/>
    <x v="4"/>
    <x v="244"/>
    <x v="0"/>
    <x v="437"/>
    <x v="0"/>
    <x v="10"/>
  </r>
  <r>
    <x v="438"/>
    <n v="552388"/>
    <s v="Qarin Sarin"/>
    <n v="453842146842"/>
    <x v="0"/>
    <x v="0"/>
    <x v="0"/>
    <s v="Savings"/>
    <x v="3"/>
    <n v="195381.64"/>
    <x v="3"/>
    <x v="327"/>
    <x v="0"/>
    <x v="438"/>
    <x v="0"/>
    <x v="7"/>
  </r>
  <r>
    <x v="439"/>
    <n v="523936"/>
    <s v="Theodore Chatterjee"/>
    <n v="145261144154"/>
    <x v="4"/>
    <x v="12"/>
    <x v="12"/>
    <s v="Savings"/>
    <x v="2"/>
    <n v="34140.730000000003"/>
    <x v="3"/>
    <x v="328"/>
    <x v="3"/>
    <x v="439"/>
    <x v="0"/>
    <x v="3"/>
  </r>
  <r>
    <x v="440"/>
    <n v="454612"/>
    <s v="Vasudha Amble"/>
    <n v="305188756174"/>
    <x v="4"/>
    <x v="20"/>
    <x v="20"/>
    <s v="Fixed Deposit"/>
    <x v="3"/>
    <n v="413815.24"/>
    <x v="4"/>
    <x v="205"/>
    <x v="3"/>
    <x v="440"/>
    <x v="0"/>
    <x v="0"/>
  </r>
  <r>
    <x v="441"/>
    <n v="222331"/>
    <s v="Patrick Ghosh"/>
    <n v="732483075544"/>
    <x v="1"/>
    <x v="9"/>
    <x v="9"/>
    <s v="Current"/>
    <x v="0"/>
    <n v="498951.58"/>
    <x v="2"/>
    <x v="329"/>
    <x v="0"/>
    <x v="441"/>
    <x v="0"/>
    <x v="11"/>
  </r>
  <r>
    <x v="442"/>
    <n v="457761"/>
    <s v="Dayita Choudhry"/>
    <n v="630313159087"/>
    <x v="2"/>
    <x v="8"/>
    <x v="8"/>
    <s v="Savings"/>
    <x v="0"/>
    <n v="500321.81"/>
    <x v="3"/>
    <x v="192"/>
    <x v="0"/>
    <x v="442"/>
    <x v="0"/>
    <x v="8"/>
  </r>
  <r>
    <x v="443"/>
    <n v="784041"/>
    <s v="Vasudha Devan"/>
    <n v="233652635234"/>
    <x v="3"/>
    <x v="21"/>
    <x v="21"/>
    <s v="Fixed Deposit"/>
    <x v="2"/>
    <n v="233950.21"/>
    <x v="2"/>
    <x v="330"/>
    <x v="0"/>
    <x v="443"/>
    <x v="0"/>
    <x v="0"/>
  </r>
  <r>
    <x v="444"/>
    <n v="130029"/>
    <s v="Aishani Vyas"/>
    <n v="649264358079"/>
    <x v="2"/>
    <x v="16"/>
    <x v="16"/>
    <s v="Fixed Deposit"/>
    <x v="2"/>
    <n v="290578.13"/>
    <x v="0"/>
    <x v="301"/>
    <x v="0"/>
    <x v="444"/>
    <x v="0"/>
    <x v="0"/>
  </r>
  <r>
    <x v="445"/>
    <n v="806467"/>
    <s v="Madhavi Singhal"/>
    <n v="781500218179"/>
    <x v="3"/>
    <x v="7"/>
    <x v="7"/>
    <s v="Current"/>
    <x v="2"/>
    <n v="106758.52"/>
    <x v="2"/>
    <x v="331"/>
    <x v="3"/>
    <x v="445"/>
    <x v="0"/>
    <x v="1"/>
  </r>
  <r>
    <x v="446"/>
    <n v="908804"/>
    <s v="Ubika Nath"/>
    <n v="475332694595"/>
    <x v="4"/>
    <x v="15"/>
    <x v="15"/>
    <s v="Recurring Deposit"/>
    <x v="3"/>
    <n v="55162.87"/>
    <x v="4"/>
    <x v="47"/>
    <x v="0"/>
    <x v="446"/>
    <x v="0"/>
    <x v="8"/>
  </r>
  <r>
    <x v="447"/>
    <n v="578684"/>
    <s v="Dalbir Mangal"/>
    <n v="726753454826"/>
    <x v="1"/>
    <x v="23"/>
    <x v="23"/>
    <s v="Savings"/>
    <x v="1"/>
    <n v="145964.88"/>
    <x v="1"/>
    <x v="165"/>
    <x v="0"/>
    <x v="447"/>
    <x v="0"/>
    <x v="4"/>
  </r>
  <r>
    <x v="448"/>
    <n v="855681"/>
    <s v="Zaitra Mohan"/>
    <n v="190826722420"/>
    <x v="2"/>
    <x v="3"/>
    <x v="3"/>
    <s v="Current"/>
    <x v="1"/>
    <n v="40273.629999999997"/>
    <x v="4"/>
    <x v="73"/>
    <x v="0"/>
    <x v="448"/>
    <x v="0"/>
    <x v="8"/>
  </r>
  <r>
    <x v="449"/>
    <n v="453699"/>
    <s v="Ishanvi Mishra"/>
    <n v="544604573240"/>
    <x v="4"/>
    <x v="15"/>
    <x v="15"/>
    <s v="Recurring Deposit"/>
    <x v="2"/>
    <n v="176968.27"/>
    <x v="0"/>
    <x v="332"/>
    <x v="0"/>
    <x v="449"/>
    <x v="0"/>
    <x v="11"/>
  </r>
  <r>
    <x v="450"/>
    <n v="916141"/>
    <s v="Om Johal"/>
    <n v="838735243503"/>
    <x v="1"/>
    <x v="1"/>
    <x v="1"/>
    <s v="Current"/>
    <x v="1"/>
    <n v="112350.94"/>
    <x v="1"/>
    <x v="333"/>
    <x v="0"/>
    <x v="450"/>
    <x v="0"/>
    <x v="10"/>
  </r>
  <r>
    <x v="451"/>
    <n v="155828"/>
    <s v="Vasatika Suresh"/>
    <n v="139729440036"/>
    <x v="2"/>
    <x v="3"/>
    <x v="3"/>
    <s v="Fixed Deposit"/>
    <x v="2"/>
    <n v="177814.59"/>
    <x v="2"/>
    <x v="55"/>
    <x v="0"/>
    <x v="451"/>
    <x v="0"/>
    <x v="11"/>
  </r>
  <r>
    <x v="452"/>
    <n v="612319"/>
    <s v="Amara Agate"/>
    <n v="656157267106"/>
    <x v="1"/>
    <x v="1"/>
    <x v="1"/>
    <s v="Savings"/>
    <x v="0"/>
    <n v="143983.29999999999"/>
    <x v="2"/>
    <x v="60"/>
    <x v="0"/>
    <x v="452"/>
    <x v="0"/>
    <x v="11"/>
  </r>
  <r>
    <x v="453"/>
    <n v="835355"/>
    <s v="Vedant Parmar"/>
    <n v="536963920814"/>
    <x v="1"/>
    <x v="9"/>
    <x v="9"/>
    <s v="Recurring Deposit"/>
    <x v="0"/>
    <n v="216375.47"/>
    <x v="1"/>
    <x v="106"/>
    <x v="0"/>
    <x v="453"/>
    <x v="0"/>
    <x v="5"/>
  </r>
  <r>
    <x v="454"/>
    <n v="504669"/>
    <s v="Shivani Soman"/>
    <n v="754422929593"/>
    <x v="0"/>
    <x v="11"/>
    <x v="11"/>
    <s v="Current"/>
    <x v="3"/>
    <n v="153284.23000000001"/>
    <x v="3"/>
    <x v="334"/>
    <x v="0"/>
    <x v="454"/>
    <x v="0"/>
    <x v="10"/>
  </r>
  <r>
    <x v="455"/>
    <n v="473260"/>
    <s v="Abeer Nigam"/>
    <n v="304550826056"/>
    <x v="1"/>
    <x v="18"/>
    <x v="18"/>
    <s v="Recurring Deposit"/>
    <x v="3"/>
    <n v="204242.97"/>
    <x v="1"/>
    <x v="77"/>
    <x v="0"/>
    <x v="455"/>
    <x v="0"/>
    <x v="0"/>
  </r>
  <r>
    <x v="456"/>
    <n v="295399"/>
    <s v="Nathaniel D’Alia"/>
    <n v="841211888565"/>
    <x v="3"/>
    <x v="21"/>
    <x v="21"/>
    <s v="Fixed Deposit"/>
    <x v="2"/>
    <n v="32917.839999999997"/>
    <x v="0"/>
    <x v="335"/>
    <x v="0"/>
    <x v="456"/>
    <x v="0"/>
    <x v="10"/>
  </r>
  <r>
    <x v="457"/>
    <n v="334036"/>
    <s v="Rishi Sachdeva"/>
    <n v="537089530790"/>
    <x v="2"/>
    <x v="6"/>
    <x v="6"/>
    <s v="Current"/>
    <x v="1"/>
    <n v="104083.23"/>
    <x v="1"/>
    <x v="247"/>
    <x v="0"/>
    <x v="457"/>
    <x v="0"/>
    <x v="0"/>
  </r>
  <r>
    <x v="458"/>
    <n v="935158"/>
    <s v="Ekalinga Balasubramanian"/>
    <n v="944938346542"/>
    <x v="3"/>
    <x v="22"/>
    <x v="22"/>
    <s v="Savings"/>
    <x v="2"/>
    <n v="150210.6"/>
    <x v="4"/>
    <x v="175"/>
    <x v="0"/>
    <x v="458"/>
    <x v="0"/>
    <x v="8"/>
  </r>
  <r>
    <x v="459"/>
    <n v="767001"/>
    <s v="Bhavani Sahota"/>
    <n v="674606333456"/>
    <x v="3"/>
    <x v="21"/>
    <x v="21"/>
    <s v="Current"/>
    <x v="0"/>
    <n v="540827.56000000006"/>
    <x v="0"/>
    <x v="205"/>
    <x v="0"/>
    <x v="459"/>
    <x v="0"/>
    <x v="0"/>
  </r>
  <r>
    <x v="460"/>
    <n v="969821"/>
    <s v="Oscar Sodhi"/>
    <n v="780902409708"/>
    <x v="2"/>
    <x v="2"/>
    <x v="2"/>
    <s v="Savings"/>
    <x v="1"/>
    <n v="137525.01"/>
    <x v="2"/>
    <x v="336"/>
    <x v="0"/>
    <x v="460"/>
    <x v="0"/>
    <x v="11"/>
  </r>
  <r>
    <x v="461"/>
    <n v="567678"/>
    <s v="Sanaya Hayer"/>
    <n v="441180444719"/>
    <x v="3"/>
    <x v="7"/>
    <x v="7"/>
    <s v="Recurring Deposit"/>
    <x v="0"/>
    <n v="520051.76"/>
    <x v="2"/>
    <x v="337"/>
    <x v="0"/>
    <x v="461"/>
    <x v="0"/>
    <x v="5"/>
  </r>
  <r>
    <x v="462"/>
    <n v="689621"/>
    <s v="Oscar Chopra"/>
    <n v="996618159017"/>
    <x v="4"/>
    <x v="15"/>
    <x v="15"/>
    <s v="Savings"/>
    <x v="2"/>
    <n v="163962.70000000001"/>
    <x v="1"/>
    <x v="338"/>
    <x v="0"/>
    <x v="462"/>
    <x v="0"/>
    <x v="1"/>
  </r>
  <r>
    <x v="463"/>
    <n v="224857"/>
    <s v="Fitan Batra"/>
    <n v="337595113221"/>
    <x v="3"/>
    <x v="21"/>
    <x v="21"/>
    <s v="Recurring Deposit"/>
    <x v="0"/>
    <n v="416358.8"/>
    <x v="2"/>
    <x v="172"/>
    <x v="0"/>
    <x v="463"/>
    <x v="0"/>
    <x v="9"/>
  </r>
  <r>
    <x v="464"/>
    <n v="240183"/>
    <s v="Om Master"/>
    <n v="781431196996"/>
    <x v="3"/>
    <x v="10"/>
    <x v="10"/>
    <s v="Savings"/>
    <x v="2"/>
    <n v="102467.43"/>
    <x v="4"/>
    <x v="339"/>
    <x v="2"/>
    <x v="464"/>
    <x v="0"/>
    <x v="9"/>
  </r>
  <r>
    <x v="465"/>
    <n v="187594"/>
    <s v="Bhavya Dugal"/>
    <n v="670671711566"/>
    <x v="0"/>
    <x v="0"/>
    <x v="0"/>
    <s v="Recurring Deposit"/>
    <x v="3"/>
    <n v="442525.87"/>
    <x v="1"/>
    <x v="340"/>
    <x v="0"/>
    <x v="465"/>
    <x v="0"/>
    <x v="3"/>
  </r>
  <r>
    <x v="466"/>
    <n v="490738"/>
    <s v="Girish Karnik"/>
    <n v="159475214466"/>
    <x v="0"/>
    <x v="19"/>
    <x v="19"/>
    <s v="Savings"/>
    <x v="1"/>
    <n v="9274.36"/>
    <x v="1"/>
    <x v="268"/>
    <x v="0"/>
    <x v="466"/>
    <x v="0"/>
    <x v="0"/>
  </r>
  <r>
    <x v="467"/>
    <n v="186325"/>
    <s v="Janaki Chhabra"/>
    <n v="760895056386"/>
    <x v="1"/>
    <x v="9"/>
    <x v="9"/>
    <s v="Fixed Deposit"/>
    <x v="2"/>
    <n v="118082.76"/>
    <x v="0"/>
    <x v="341"/>
    <x v="0"/>
    <x v="467"/>
    <x v="0"/>
    <x v="4"/>
  </r>
  <r>
    <x v="468"/>
    <n v="441216"/>
    <s v="Shaurya Modi"/>
    <n v="384501417224"/>
    <x v="4"/>
    <x v="13"/>
    <x v="13"/>
    <s v="Current"/>
    <x v="3"/>
    <n v="15002.6"/>
    <x v="3"/>
    <x v="342"/>
    <x v="0"/>
    <x v="468"/>
    <x v="0"/>
    <x v="4"/>
  </r>
  <r>
    <x v="469"/>
    <n v="415091"/>
    <s v="Vanya Bhavsar"/>
    <n v="582715807001"/>
    <x v="4"/>
    <x v="20"/>
    <x v="20"/>
    <s v="Recurring Deposit"/>
    <x v="3"/>
    <n v="186304.69"/>
    <x v="3"/>
    <x v="343"/>
    <x v="0"/>
    <x v="469"/>
    <x v="0"/>
    <x v="5"/>
  </r>
  <r>
    <x v="470"/>
    <n v="647451"/>
    <s v="Isha Majumdar"/>
    <n v="908575564799"/>
    <x v="1"/>
    <x v="9"/>
    <x v="9"/>
    <s v="Current"/>
    <x v="3"/>
    <n v="305720.05"/>
    <x v="3"/>
    <x v="58"/>
    <x v="2"/>
    <x v="470"/>
    <x v="0"/>
    <x v="9"/>
  </r>
  <r>
    <x v="471"/>
    <n v="313682"/>
    <s v="Rachana Nigam"/>
    <n v="975793031886"/>
    <x v="2"/>
    <x v="2"/>
    <x v="2"/>
    <s v="Savings"/>
    <x v="3"/>
    <n v="94684.54"/>
    <x v="3"/>
    <x v="344"/>
    <x v="0"/>
    <x v="471"/>
    <x v="0"/>
    <x v="4"/>
  </r>
  <r>
    <x v="472"/>
    <n v="896301"/>
    <s v="Waida Dora"/>
    <n v="434355404660"/>
    <x v="4"/>
    <x v="14"/>
    <x v="14"/>
    <s v="Recurring Deposit"/>
    <x v="3"/>
    <n v="266228.63"/>
    <x v="3"/>
    <x v="111"/>
    <x v="0"/>
    <x v="472"/>
    <x v="0"/>
    <x v="2"/>
  </r>
  <r>
    <x v="473"/>
    <n v="675784"/>
    <s v="Tara Shukla"/>
    <n v="788941069391"/>
    <x v="0"/>
    <x v="11"/>
    <x v="11"/>
    <s v="Fixed Deposit"/>
    <x v="1"/>
    <n v="103723.98"/>
    <x v="4"/>
    <x v="345"/>
    <x v="0"/>
    <x v="473"/>
    <x v="0"/>
    <x v="3"/>
  </r>
  <r>
    <x v="474"/>
    <n v="555371"/>
    <s v="Chaaya Varty"/>
    <n v="229471966150"/>
    <x v="2"/>
    <x v="8"/>
    <x v="8"/>
    <s v="Savings"/>
    <x v="1"/>
    <n v="82951.97"/>
    <x v="2"/>
    <x v="346"/>
    <x v="0"/>
    <x v="474"/>
    <x v="0"/>
    <x v="8"/>
  </r>
  <r>
    <x v="475"/>
    <n v="718015"/>
    <s v="Arjun Mangal"/>
    <n v="312934784546"/>
    <x v="2"/>
    <x v="8"/>
    <x v="8"/>
    <s v="Recurring Deposit"/>
    <x v="3"/>
    <n v="90532.41"/>
    <x v="4"/>
    <x v="347"/>
    <x v="0"/>
    <x v="475"/>
    <x v="0"/>
    <x v="5"/>
  </r>
  <r>
    <x v="476"/>
    <n v="303217"/>
    <s v="Ekiya Wali"/>
    <n v="628667719492"/>
    <x v="3"/>
    <x v="22"/>
    <x v="22"/>
    <s v="Fixed Deposit"/>
    <x v="3"/>
    <n v="25585.29"/>
    <x v="1"/>
    <x v="129"/>
    <x v="0"/>
    <x v="476"/>
    <x v="0"/>
    <x v="7"/>
  </r>
  <r>
    <x v="477"/>
    <n v="946247"/>
    <s v="Aachal Aggarwal"/>
    <n v="800614144292"/>
    <x v="2"/>
    <x v="2"/>
    <x v="2"/>
    <s v="Current"/>
    <x v="3"/>
    <n v="84085.59"/>
    <x v="3"/>
    <x v="263"/>
    <x v="0"/>
    <x v="477"/>
    <x v="0"/>
    <x v="3"/>
  </r>
  <r>
    <x v="478"/>
    <n v="613463"/>
    <s v="Dayita Nayak"/>
    <n v="350731897846"/>
    <x v="0"/>
    <x v="0"/>
    <x v="0"/>
    <s v="Fixed Deposit"/>
    <x v="3"/>
    <n v="257896.04"/>
    <x v="2"/>
    <x v="348"/>
    <x v="3"/>
    <x v="478"/>
    <x v="0"/>
    <x v="8"/>
  </r>
  <r>
    <x v="479"/>
    <n v="153582"/>
    <s v="Ganga Memon"/>
    <n v="830198079057"/>
    <x v="4"/>
    <x v="12"/>
    <x v="12"/>
    <s v="Savings"/>
    <x v="2"/>
    <n v="142440"/>
    <x v="1"/>
    <x v="210"/>
    <x v="1"/>
    <x v="479"/>
    <x v="0"/>
    <x v="10"/>
  </r>
  <r>
    <x v="480"/>
    <n v="100803"/>
    <s v="Harini Hari"/>
    <n v="343430050066"/>
    <x v="0"/>
    <x v="0"/>
    <x v="0"/>
    <s v="Fixed Deposit"/>
    <x v="2"/>
    <n v="103601.04"/>
    <x v="2"/>
    <x v="289"/>
    <x v="0"/>
    <x v="480"/>
    <x v="0"/>
    <x v="10"/>
  </r>
  <r>
    <x v="481"/>
    <n v="520243"/>
    <s v="Vedhika Biswas"/>
    <n v="340851237938"/>
    <x v="1"/>
    <x v="18"/>
    <x v="18"/>
    <s v="Recurring Deposit"/>
    <x v="0"/>
    <n v="556413.30000000005"/>
    <x v="2"/>
    <x v="349"/>
    <x v="0"/>
    <x v="481"/>
    <x v="0"/>
    <x v="5"/>
  </r>
  <r>
    <x v="482"/>
    <n v="314894"/>
    <s v="Leena Sawhney"/>
    <n v="751158319736"/>
    <x v="3"/>
    <x v="22"/>
    <x v="22"/>
    <s v="Current"/>
    <x v="2"/>
    <n v="4495.21"/>
    <x v="1"/>
    <x v="262"/>
    <x v="0"/>
    <x v="482"/>
    <x v="0"/>
    <x v="10"/>
  </r>
  <r>
    <x v="483"/>
    <n v="779817"/>
    <s v="Aarini Rai"/>
    <n v="549818142528"/>
    <x v="0"/>
    <x v="4"/>
    <x v="4"/>
    <s v="Fixed Deposit"/>
    <x v="0"/>
    <n v="125743.7"/>
    <x v="2"/>
    <x v="175"/>
    <x v="1"/>
    <x v="483"/>
    <x v="0"/>
    <x v="8"/>
  </r>
  <r>
    <x v="484"/>
    <n v="682271"/>
    <s v="Raksha Rao"/>
    <n v="911510411130"/>
    <x v="0"/>
    <x v="19"/>
    <x v="19"/>
    <s v="Savings"/>
    <x v="0"/>
    <n v="420581.41"/>
    <x v="4"/>
    <x v="350"/>
    <x v="0"/>
    <x v="484"/>
    <x v="0"/>
    <x v="9"/>
  </r>
  <r>
    <x v="485"/>
    <n v="132455"/>
    <s v="Rayaan Nori"/>
    <n v="378333556205"/>
    <x v="4"/>
    <x v="20"/>
    <x v="20"/>
    <s v="Savings"/>
    <x v="1"/>
    <n v="49848.98"/>
    <x v="3"/>
    <x v="43"/>
    <x v="0"/>
    <x v="485"/>
    <x v="0"/>
    <x v="6"/>
  </r>
  <r>
    <x v="486"/>
    <n v="568353"/>
    <s v="Utkarsh Mall"/>
    <n v="143654336794"/>
    <x v="3"/>
    <x v="17"/>
    <x v="17"/>
    <s v="Recurring Deposit"/>
    <x v="0"/>
    <n v="197544.78"/>
    <x v="3"/>
    <x v="331"/>
    <x v="3"/>
    <x v="486"/>
    <x v="0"/>
    <x v="1"/>
  </r>
  <r>
    <x v="487"/>
    <n v="802444"/>
    <s v="Tejas Basu"/>
    <n v="582762750258"/>
    <x v="1"/>
    <x v="23"/>
    <x v="23"/>
    <s v="Current"/>
    <x v="1"/>
    <n v="141177.64000000001"/>
    <x v="0"/>
    <x v="351"/>
    <x v="0"/>
    <x v="487"/>
    <x v="0"/>
    <x v="1"/>
  </r>
  <r>
    <x v="488"/>
    <n v="978548"/>
    <s v="Ijaya Vig"/>
    <n v="331032149981"/>
    <x v="3"/>
    <x v="10"/>
    <x v="10"/>
    <s v="Current"/>
    <x v="0"/>
    <n v="50422.44"/>
    <x v="4"/>
    <x v="352"/>
    <x v="0"/>
    <x v="488"/>
    <x v="0"/>
    <x v="11"/>
  </r>
  <r>
    <x v="489"/>
    <n v="851257"/>
    <s v="Abhimanyu Ravi"/>
    <n v="990997552935"/>
    <x v="2"/>
    <x v="8"/>
    <x v="8"/>
    <s v="Savings"/>
    <x v="3"/>
    <n v="342132.86"/>
    <x v="0"/>
    <x v="353"/>
    <x v="0"/>
    <x v="489"/>
    <x v="0"/>
    <x v="4"/>
  </r>
  <r>
    <x v="490"/>
    <n v="795373"/>
    <s v="Xiti Bhatti"/>
    <n v="289850951999"/>
    <x v="1"/>
    <x v="9"/>
    <x v="9"/>
    <s v="Recurring Deposit"/>
    <x v="2"/>
    <n v="232001.45"/>
    <x v="3"/>
    <x v="269"/>
    <x v="0"/>
    <x v="490"/>
    <x v="0"/>
    <x v="11"/>
  </r>
  <r>
    <x v="491"/>
    <n v="117914"/>
    <s v="Edhitha Deshpande"/>
    <n v="764425244728"/>
    <x v="0"/>
    <x v="5"/>
    <x v="5"/>
    <s v="Recurring Deposit"/>
    <x v="1"/>
    <n v="109038.03"/>
    <x v="4"/>
    <x v="147"/>
    <x v="0"/>
    <x v="491"/>
    <x v="0"/>
    <x v="11"/>
  </r>
  <r>
    <x v="492"/>
    <n v="648879"/>
    <s v="Jonathan Bhat"/>
    <n v="504085367461"/>
    <x v="4"/>
    <x v="12"/>
    <x v="12"/>
    <s v="Current"/>
    <x v="3"/>
    <n v="475452.83"/>
    <x v="2"/>
    <x v="354"/>
    <x v="2"/>
    <x v="492"/>
    <x v="0"/>
    <x v="8"/>
  </r>
  <r>
    <x v="493"/>
    <n v="128077"/>
    <s v="Varsha Vaidya"/>
    <n v="252386211751"/>
    <x v="1"/>
    <x v="23"/>
    <x v="23"/>
    <s v="Savings"/>
    <x v="2"/>
    <n v="281600.58"/>
    <x v="0"/>
    <x v="355"/>
    <x v="0"/>
    <x v="493"/>
    <x v="0"/>
    <x v="4"/>
  </r>
  <r>
    <x v="494"/>
    <n v="882387"/>
    <s v="Manthan Subramaniam"/>
    <n v="732722911089"/>
    <x v="2"/>
    <x v="3"/>
    <x v="3"/>
    <s v="Fixed Deposit"/>
    <x v="2"/>
    <n v="44124.36"/>
    <x v="4"/>
    <x v="356"/>
    <x v="3"/>
    <x v="494"/>
    <x v="0"/>
    <x v="8"/>
  </r>
  <r>
    <x v="495"/>
    <n v="372576"/>
    <s v="Daksha Raj"/>
    <n v="450052315274"/>
    <x v="3"/>
    <x v="10"/>
    <x v="10"/>
    <s v="Recurring Deposit"/>
    <x v="2"/>
    <n v="16012.31"/>
    <x v="1"/>
    <x v="357"/>
    <x v="2"/>
    <x v="495"/>
    <x v="0"/>
    <x v="6"/>
  </r>
  <r>
    <x v="496"/>
    <n v="973339"/>
    <s v="Advika Dua"/>
    <n v="617919454254"/>
    <x v="2"/>
    <x v="6"/>
    <x v="6"/>
    <s v="Recurring Deposit"/>
    <x v="1"/>
    <n v="129630.37"/>
    <x v="3"/>
    <x v="358"/>
    <x v="0"/>
    <x v="496"/>
    <x v="0"/>
    <x v="9"/>
  </r>
  <r>
    <x v="497"/>
    <n v="227576"/>
    <s v="Daksha Kamdar"/>
    <n v="369866165241"/>
    <x v="3"/>
    <x v="7"/>
    <x v="7"/>
    <s v="Fixed Deposit"/>
    <x v="0"/>
    <n v="307632.5"/>
    <x v="4"/>
    <x v="359"/>
    <x v="0"/>
    <x v="497"/>
    <x v="0"/>
    <x v="0"/>
  </r>
  <r>
    <x v="498"/>
    <n v="209976"/>
    <s v="Ekalinga Bawa"/>
    <n v="238320682537"/>
    <x v="3"/>
    <x v="10"/>
    <x v="10"/>
    <s v="Current"/>
    <x v="3"/>
    <n v="345920.42"/>
    <x v="3"/>
    <x v="360"/>
    <x v="0"/>
    <x v="498"/>
    <x v="0"/>
    <x v="4"/>
  </r>
  <r>
    <x v="499"/>
    <n v="429704"/>
    <s v="Tristan Brar"/>
    <n v="127631697094"/>
    <x v="0"/>
    <x v="19"/>
    <x v="19"/>
    <s v="Current"/>
    <x v="2"/>
    <n v="140084.76999999999"/>
    <x v="2"/>
    <x v="361"/>
    <x v="0"/>
    <x v="499"/>
    <x v="0"/>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A08B9E-C2DD-4425-AB86-821F9D6B4B4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3:B8" firstHeaderRow="1" firstDataRow="1" firstDataCol="1"/>
  <pivotFields count="16">
    <pivotField dataField="1" showAll="0"/>
    <pivotField showAll="0"/>
    <pivotField showAll="0"/>
    <pivotField showAll="0"/>
    <pivotField axis="axisRow" showAll="0">
      <items count="6">
        <item x="0"/>
        <item x="1"/>
        <item x="3"/>
        <item x="4"/>
        <item x="2"/>
        <item t="default"/>
      </items>
    </pivotField>
    <pivotField showAll="0"/>
    <pivotField showAll="0"/>
    <pivotField showAll="0"/>
    <pivotField showAll="0">
      <items count="5">
        <item x="0"/>
        <item x="2"/>
        <item x="3"/>
        <item x="1"/>
        <item t="default"/>
      </items>
    </pivotField>
    <pivotField showAll="0"/>
    <pivotField showAll="0">
      <items count="6">
        <item x="4"/>
        <item x="1"/>
        <item x="3"/>
        <item x="2"/>
        <item x="0"/>
        <item t="default"/>
      </items>
    </pivotField>
    <pivotField showAll="0">
      <items count="363">
        <item x="213"/>
        <item x="284"/>
        <item x="115"/>
        <item x="10"/>
        <item x="129"/>
        <item x="280"/>
        <item x="31"/>
        <item x="276"/>
        <item x="189"/>
        <item x="222"/>
        <item x="167"/>
        <item x="272"/>
        <item x="355"/>
        <item x="44"/>
        <item x="341"/>
        <item x="51"/>
        <item x="188"/>
        <item x="28"/>
        <item x="14"/>
        <item x="224"/>
        <item x="353"/>
        <item x="314"/>
        <item x="156"/>
        <item x="342"/>
        <item x="296"/>
        <item x="72"/>
        <item x="138"/>
        <item x="298"/>
        <item x="288"/>
        <item x="289"/>
        <item x="262"/>
        <item x="45"/>
        <item x="231"/>
        <item x="132"/>
        <item x="333"/>
        <item x="40"/>
        <item x="300"/>
        <item x="96"/>
        <item x="322"/>
        <item x="318"/>
        <item x="331"/>
        <item x="238"/>
        <item x="338"/>
        <item x="219"/>
        <item x="299"/>
        <item x="29"/>
        <item x="69"/>
        <item x="1"/>
        <item x="320"/>
        <item x="113"/>
        <item x="177"/>
        <item x="179"/>
        <item x="124"/>
        <item x="218"/>
        <item x="35"/>
        <item x="12"/>
        <item x="75"/>
        <item x="87"/>
        <item x="206"/>
        <item x="73"/>
        <item x="235"/>
        <item x="122"/>
        <item x="99"/>
        <item x="234"/>
        <item x="354"/>
        <item x="47"/>
        <item x="48"/>
        <item x="346"/>
        <item x="228"/>
        <item x="310"/>
        <item x="274"/>
        <item x="65"/>
        <item x="263"/>
        <item x="41"/>
        <item x="190"/>
        <item x="9"/>
        <item x="140"/>
        <item x="148"/>
        <item x="233"/>
        <item x="79"/>
        <item x="74"/>
        <item x="66"/>
        <item x="328"/>
        <item x="324"/>
        <item x="292"/>
        <item x="197"/>
        <item x="86"/>
        <item x="187"/>
        <item x="94"/>
        <item x="149"/>
        <item x="147"/>
        <item x="329"/>
        <item x="286"/>
        <item x="249"/>
        <item x="92"/>
        <item x="230"/>
        <item x="85"/>
        <item x="336"/>
        <item x="358"/>
        <item x="221"/>
        <item x="16"/>
        <item x="84"/>
        <item x="121"/>
        <item x="252"/>
        <item x="154"/>
        <item x="37"/>
        <item x="256"/>
        <item x="237"/>
        <item x="185"/>
        <item x="283"/>
        <item x="153"/>
        <item x="326"/>
        <item x="339"/>
        <item x="303"/>
        <item x="46"/>
        <item x="229"/>
        <item x="307"/>
        <item x="61"/>
        <item x="118"/>
        <item x="173"/>
        <item x="220"/>
        <item x="162"/>
        <item x="313"/>
        <item x="309"/>
        <item x="182"/>
        <item x="170"/>
        <item x="202"/>
        <item x="2"/>
        <item x="254"/>
        <item x="267"/>
        <item x="251"/>
        <item x="290"/>
        <item x="316"/>
        <item x="191"/>
        <item x="239"/>
        <item x="247"/>
        <item x="90"/>
        <item x="15"/>
        <item x="194"/>
        <item x="301"/>
        <item x="268"/>
        <item x="226"/>
        <item x="205"/>
        <item x="25"/>
        <item x="114"/>
        <item x="359"/>
        <item x="77"/>
        <item x="214"/>
        <item x="212"/>
        <item x="57"/>
        <item x="215"/>
        <item x="275"/>
        <item x="232"/>
        <item x="357"/>
        <item x="145"/>
        <item x="243"/>
        <item x="305"/>
        <item x="30"/>
        <item x="134"/>
        <item x="97"/>
        <item x="259"/>
        <item x="7"/>
        <item x="43"/>
        <item x="306"/>
        <item x="116"/>
        <item x="240"/>
        <item x="294"/>
        <item x="27"/>
        <item x="17"/>
        <item x="5"/>
        <item x="337"/>
        <item x="311"/>
        <item x="102"/>
        <item x="106"/>
        <item x="131"/>
        <item x="343"/>
        <item x="347"/>
        <item x="141"/>
        <item x="271"/>
        <item x="62"/>
        <item x="108"/>
        <item x="250"/>
        <item x="327"/>
        <item x="242"/>
        <item x="211"/>
        <item x="174"/>
        <item x="11"/>
        <item x="42"/>
        <item x="315"/>
        <item x="52"/>
        <item x="321"/>
        <item x="101"/>
        <item x="26"/>
        <item x="100"/>
        <item x="4"/>
        <item x="159"/>
        <item x="105"/>
        <item x="18"/>
        <item x="56"/>
        <item x="287"/>
        <item x="344"/>
        <item x="282"/>
        <item x="142"/>
        <item x="201"/>
        <item x="319"/>
        <item x="70"/>
        <item x="8"/>
        <item x="165"/>
        <item x="360"/>
        <item x="120"/>
        <item x="258"/>
        <item x="181"/>
        <item x="236"/>
        <item x="335"/>
        <item x="39"/>
        <item x="164"/>
        <item x="216"/>
        <item x="334"/>
        <item x="203"/>
        <item x="244"/>
        <item x="210"/>
        <item x="117"/>
        <item x="168"/>
        <item x="146"/>
        <item x="38"/>
        <item x="80"/>
        <item x="103"/>
        <item x="63"/>
        <item x="22"/>
        <item x="184"/>
        <item x="155"/>
        <item x="198"/>
        <item x="6"/>
        <item x="88"/>
        <item x="59"/>
        <item x="351"/>
        <item x="36"/>
        <item x="24"/>
        <item x="110"/>
        <item x="270"/>
        <item x="53"/>
        <item x="356"/>
        <item x="261"/>
        <item x="260"/>
        <item x="68"/>
        <item x="217"/>
        <item x="348"/>
        <item x="255"/>
        <item x="209"/>
        <item x="192"/>
        <item x="19"/>
        <item x="297"/>
        <item x="98"/>
        <item x="169"/>
        <item x="112"/>
        <item x="143"/>
        <item x="161"/>
        <item x="175"/>
        <item x="340"/>
        <item x="323"/>
        <item x="135"/>
        <item x="150"/>
        <item x="166"/>
        <item x="171"/>
        <item x="345"/>
        <item x="278"/>
        <item x="64"/>
        <item x="265"/>
        <item x="3"/>
        <item x="279"/>
        <item x="23"/>
        <item x="176"/>
        <item x="195"/>
        <item x="55"/>
        <item x="200"/>
        <item x="152"/>
        <item x="60"/>
        <item x="332"/>
        <item x="352"/>
        <item x="127"/>
        <item x="136"/>
        <item x="130"/>
        <item x="269"/>
        <item x="302"/>
        <item x="128"/>
        <item x="304"/>
        <item x="266"/>
        <item x="227"/>
        <item x="125"/>
        <item x="20"/>
        <item x="295"/>
        <item x="58"/>
        <item x="350"/>
        <item x="172"/>
        <item x="273"/>
        <item x="264"/>
        <item x="34"/>
        <item x="82"/>
        <item x="248"/>
        <item x="67"/>
        <item x="325"/>
        <item x="49"/>
        <item x="277"/>
        <item x="91"/>
        <item x="257"/>
        <item x="111"/>
        <item x="21"/>
        <item x="291"/>
        <item x="126"/>
        <item x="76"/>
        <item x="137"/>
        <item x="133"/>
        <item x="312"/>
        <item x="89"/>
        <item x="207"/>
        <item x="109"/>
        <item x="33"/>
        <item x="119"/>
        <item x="241"/>
        <item x="0"/>
        <item x="225"/>
        <item x="317"/>
        <item x="71"/>
        <item x="104"/>
        <item x="330"/>
        <item x="186"/>
        <item x="78"/>
        <item x="183"/>
        <item x="81"/>
        <item x="180"/>
        <item x="204"/>
        <item x="245"/>
        <item x="83"/>
        <item x="163"/>
        <item x="293"/>
        <item x="123"/>
        <item x="223"/>
        <item x="139"/>
        <item x="208"/>
        <item x="32"/>
        <item x="178"/>
        <item x="50"/>
        <item x="54"/>
        <item x="281"/>
        <item x="158"/>
        <item x="160"/>
        <item x="151"/>
        <item x="93"/>
        <item x="285"/>
        <item x="308"/>
        <item x="349"/>
        <item x="253"/>
        <item x="246"/>
        <item x="144"/>
        <item x="157"/>
        <item x="196"/>
        <item x="95"/>
        <item x="13"/>
        <item x="107"/>
        <item x="361"/>
        <item x="193"/>
        <item x="199"/>
        <item t="default"/>
      </items>
    </pivotField>
    <pivotField showAll="0">
      <items count="5">
        <item x="0"/>
        <item x="2"/>
        <item x="1"/>
        <item x="3"/>
        <item t="default"/>
      </items>
    </pivotField>
    <pivotField showAll="0">
      <items count="501">
        <item x="333"/>
        <item x="198"/>
        <item x="256"/>
        <item x="43"/>
        <item x="184"/>
        <item x="88"/>
        <item x="206"/>
        <item x="335"/>
        <item x="217"/>
        <item x="473"/>
        <item x="155"/>
        <item x="341"/>
        <item x="181"/>
        <item x="160"/>
        <item x="187"/>
        <item x="149"/>
        <item x="64"/>
        <item x="329"/>
        <item x="166"/>
        <item x="69"/>
        <item x="447"/>
        <item x="35"/>
        <item x="392"/>
        <item x="33"/>
        <item x="77"/>
        <item x="109"/>
        <item x="74"/>
        <item x="85"/>
        <item x="434"/>
        <item x="316"/>
        <item x="81"/>
        <item x="390"/>
        <item x="456"/>
        <item x="120"/>
        <item x="482"/>
        <item x="97"/>
        <item x="319"/>
        <item x="224"/>
        <item x="445"/>
        <item x="75"/>
        <item x="163"/>
        <item x="426"/>
        <item x="452"/>
        <item x="151"/>
        <item x="57"/>
        <item x="310"/>
        <item x="96"/>
        <item x="328"/>
        <item x="178"/>
        <item x="488"/>
        <item x="243"/>
        <item x="478"/>
        <item x="220"/>
        <item x="409"/>
        <item x="363"/>
        <item x="26"/>
        <item x="364"/>
        <item x="37"/>
        <item x="339"/>
        <item x="195"/>
        <item x="368"/>
        <item x="62"/>
        <item x="401"/>
        <item x="314"/>
        <item x="346"/>
        <item x="147"/>
        <item x="267"/>
        <item x="468"/>
        <item x="248"/>
        <item x="47"/>
        <item x="309"/>
        <item x="417"/>
        <item x="497"/>
        <item x="385"/>
        <item x="320"/>
        <item x="431"/>
        <item x="164"/>
        <item x="20"/>
        <item x="471"/>
        <item x="278"/>
        <item x="61"/>
        <item x="241"/>
        <item x="68"/>
        <item x="212"/>
        <item x="115"/>
        <item x="259"/>
        <item x="116"/>
        <item x="374"/>
        <item x="428"/>
        <item x="106"/>
        <item x="4"/>
        <item x="480"/>
        <item x="419"/>
        <item x="23"/>
        <item x="55"/>
        <item x="201"/>
        <item x="397"/>
        <item x="469"/>
        <item x="375"/>
        <item x="190"/>
        <item x="394"/>
        <item x="388"/>
        <item x="380"/>
        <item x="70"/>
        <item x="174"/>
        <item x="254"/>
        <item x="313"/>
        <item x="437"/>
        <item x="157"/>
        <item x="175"/>
        <item x="40"/>
        <item x="59"/>
        <item x="112"/>
        <item x="172"/>
        <item x="189"/>
        <item x="60"/>
        <item x="344"/>
        <item x="342"/>
        <item x="264"/>
        <item x="324"/>
        <item x="144"/>
        <item x="129"/>
        <item x="318"/>
        <item x="282"/>
        <item x="490"/>
        <item x="150"/>
        <item x="50"/>
        <item x="444"/>
        <item x="58"/>
        <item x="209"/>
        <item x="63"/>
        <item x="334"/>
        <item x="258"/>
        <item x="152"/>
        <item x="421"/>
        <item x="82"/>
        <item x="296"/>
        <item x="126"/>
        <item x="253"/>
        <item x="216"/>
        <item x="193"/>
        <item x="107"/>
        <item x="86"/>
        <item x="366"/>
        <item x="359"/>
        <item x="34"/>
        <item x="479"/>
        <item x="315"/>
        <item x="80"/>
        <item x="158"/>
        <item x="123"/>
        <item x="255"/>
        <item x="382"/>
        <item x="48"/>
        <item x="353"/>
        <item x="424"/>
        <item x="395"/>
        <item x="422"/>
        <item x="10"/>
        <item x="28"/>
        <item x="263"/>
        <item x="322"/>
        <item x="321"/>
        <item x="408"/>
        <item x="176"/>
        <item x="228"/>
        <item x="2"/>
        <item x="92"/>
        <item x="52"/>
        <item x="143"/>
        <item x="450"/>
        <item x="486"/>
        <item x="257"/>
        <item x="489"/>
        <item x="153"/>
        <item x="484"/>
        <item x="354"/>
        <item x="110"/>
        <item x="93"/>
        <item x="13"/>
        <item x="200"/>
        <item x="102"/>
        <item x="101"/>
        <item x="391"/>
        <item x="492"/>
        <item x="330"/>
        <item x="221"/>
        <item x="3"/>
        <item x="39"/>
        <item x="370"/>
        <item x="308"/>
        <item x="360"/>
        <item x="108"/>
        <item x="418"/>
        <item x="446"/>
        <item x="383"/>
        <item x="245"/>
        <item x="161"/>
        <item x="90"/>
        <item x="393"/>
        <item x="276"/>
        <item x="51"/>
        <item x="242"/>
        <item x="142"/>
        <item x="498"/>
        <item x="270"/>
        <item x="281"/>
        <item x="44"/>
        <item x="203"/>
        <item x="215"/>
        <item x="367"/>
        <item x="287"/>
        <item x="326"/>
        <item x="423"/>
        <item x="124"/>
        <item x="139"/>
        <item x="7"/>
        <item x="119"/>
        <item x="22"/>
        <item x="429"/>
        <item x="275"/>
        <item x="389"/>
        <item x="464"/>
        <item x="351"/>
        <item x="114"/>
        <item x="66"/>
        <item x="449"/>
        <item x="260"/>
        <item x="298"/>
        <item x="232"/>
        <item x="226"/>
        <item x="279"/>
        <item x="186"/>
        <item x="495"/>
        <item x="323"/>
        <item x="233"/>
        <item x="355"/>
        <item x="379"/>
        <item x="199"/>
        <item x="229"/>
        <item x="438"/>
        <item x="277"/>
        <item x="300"/>
        <item x="273"/>
        <item x="38"/>
        <item x="459"/>
        <item x="400"/>
        <item x="356"/>
        <item x="32"/>
        <item x="293"/>
        <item x="442"/>
        <item x="299"/>
        <item x="304"/>
        <item x="118"/>
        <item x="377"/>
        <item x="238"/>
        <item x="272"/>
        <item x="373"/>
        <item x="433"/>
        <item x="362"/>
        <item x="347"/>
        <item x="244"/>
        <item x="499"/>
        <item x="491"/>
        <item x="117"/>
        <item x="465"/>
        <item x="369"/>
        <item x="219"/>
        <item x="441"/>
        <item x="227"/>
        <item x="213"/>
        <item x="430"/>
        <item x="410"/>
        <item x="443"/>
        <item x="455"/>
        <item x="317"/>
        <item x="350"/>
        <item x="225"/>
        <item x="475"/>
        <item x="214"/>
        <item x="485"/>
        <item x="237"/>
        <item x="412"/>
        <item x="162"/>
        <item x="261"/>
        <item x="311"/>
        <item x="171"/>
        <item x="396"/>
        <item x="94"/>
        <item x="288"/>
        <item x="83"/>
        <item x="42"/>
        <item x="352"/>
        <item x="268"/>
        <item x="337"/>
        <item x="302"/>
        <item x="292"/>
        <item x="137"/>
        <item x="79"/>
        <item x="141"/>
        <item x="188"/>
        <item x="387"/>
        <item x="476"/>
        <item x="134"/>
        <item x="19"/>
        <item x="407"/>
        <item x="236"/>
        <item x="332"/>
        <item x="361"/>
        <item x="27"/>
        <item x="327"/>
        <item x="136"/>
        <item x="170"/>
        <item x="168"/>
        <item x="235"/>
        <item x="483"/>
        <item x="202"/>
        <item x="481"/>
        <item x="76"/>
        <item x="128"/>
        <item x="24"/>
        <item x="67"/>
        <item x="458"/>
        <item x="457"/>
        <item x="398"/>
        <item x="207"/>
        <item x="165"/>
        <item x="405"/>
        <item x="306"/>
        <item x="439"/>
        <item x="177"/>
        <item x="95"/>
        <item x="358"/>
        <item x="247"/>
        <item x="218"/>
        <item x="131"/>
        <item x="205"/>
        <item x="251"/>
        <item x="11"/>
        <item x="376"/>
        <item x="371"/>
        <item x="402"/>
        <item x="240"/>
        <item x="84"/>
        <item x="73"/>
        <item x="470"/>
        <item x="294"/>
        <item x="135"/>
        <item x="307"/>
        <item x="427"/>
        <item x="54"/>
        <item x="365"/>
        <item x="345"/>
        <item x="41"/>
        <item x="386"/>
        <item x="239"/>
        <item x="286"/>
        <item x="91"/>
        <item x="46"/>
        <item x="185"/>
        <item x="290"/>
        <item x="494"/>
        <item x="269"/>
        <item x="340"/>
        <item x="262"/>
        <item x="132"/>
        <item x="448"/>
        <item x="49"/>
        <item x="284"/>
        <item x="336"/>
        <item x="183"/>
        <item x="179"/>
        <item x="466"/>
        <item x="496"/>
        <item x="440"/>
        <item x="381"/>
        <item x="127"/>
        <item x="305"/>
        <item x="103"/>
        <item x="182"/>
        <item x="146"/>
        <item x="1"/>
        <item x="208"/>
        <item x="472"/>
        <item x="36"/>
        <item x="250"/>
        <item x="312"/>
        <item x="222"/>
        <item x="403"/>
        <item x="111"/>
        <item x="415"/>
        <item x="372"/>
        <item x="435"/>
        <item x="18"/>
        <item x="169"/>
        <item x="6"/>
        <item x="461"/>
        <item x="210"/>
        <item x="265"/>
        <item x="99"/>
        <item x="274"/>
        <item x="295"/>
        <item x="191"/>
        <item x="56"/>
        <item x="289"/>
        <item x="414"/>
        <item x="196"/>
        <item x="9"/>
        <item x="98"/>
        <item x="122"/>
        <item x="156"/>
        <item x="303"/>
        <item x="197"/>
        <item x="252"/>
        <item x="130"/>
        <item x="404"/>
        <item x="436"/>
        <item x="357"/>
        <item x="230"/>
        <item x="451"/>
        <item x="133"/>
        <item x="194"/>
        <item x="138"/>
        <item x="21"/>
        <item x="15"/>
        <item x="113"/>
        <item x="487"/>
        <item x="467"/>
        <item x="460"/>
        <item x="343"/>
        <item x="425"/>
        <item x="416"/>
        <item x="29"/>
        <item x="453"/>
        <item x="87"/>
        <item x="45"/>
        <item x="204"/>
        <item x="349"/>
        <item x="72"/>
        <item x="331"/>
        <item x="53"/>
        <item x="474"/>
        <item x="223"/>
        <item x="159"/>
        <item x="100"/>
        <item x="140"/>
        <item x="65"/>
        <item x="348"/>
        <item x="266"/>
        <item x="231"/>
        <item x="31"/>
        <item x="180"/>
        <item x="297"/>
        <item x="271"/>
        <item x="105"/>
        <item x="167"/>
        <item x="283"/>
        <item x="338"/>
        <item x="280"/>
        <item x="462"/>
        <item x="413"/>
        <item x="411"/>
        <item x="325"/>
        <item x="378"/>
        <item x="234"/>
        <item x="5"/>
        <item x="285"/>
        <item x="71"/>
        <item x="384"/>
        <item x="477"/>
        <item x="16"/>
        <item x="249"/>
        <item x="454"/>
        <item x="145"/>
        <item x="211"/>
        <item x="493"/>
        <item x="420"/>
        <item x="432"/>
        <item x="154"/>
        <item x="25"/>
        <item x="399"/>
        <item x="406"/>
        <item x="125"/>
        <item x="17"/>
        <item x="78"/>
        <item x="121"/>
        <item x="30"/>
        <item x="89"/>
        <item x="291"/>
        <item x="463"/>
        <item x="301"/>
        <item x="104"/>
        <item x="246"/>
        <item x="12"/>
        <item x="8"/>
        <item x="173"/>
        <item x="192"/>
        <item x="14"/>
        <item x="0"/>
        <item x="148"/>
        <item t="default"/>
      </items>
    </pivotField>
    <pivotField showAll="0"/>
    <pivotField showAll="0">
      <items count="13">
        <item x="11"/>
        <item x="9"/>
        <item x="2"/>
        <item x="0"/>
        <item x="6"/>
        <item x="5"/>
        <item x="7"/>
        <item x="4"/>
        <item x="10"/>
        <item x="1"/>
        <item x="8"/>
        <item x="3"/>
        <item t="default"/>
      </items>
    </pivotField>
  </pivotFields>
  <rowFields count="1">
    <field x="4"/>
  </rowFields>
  <rowItems count="5">
    <i>
      <x/>
    </i>
    <i>
      <x v="1"/>
    </i>
    <i>
      <x v="2"/>
    </i>
    <i>
      <x v="3"/>
    </i>
    <i>
      <x v="4"/>
    </i>
  </rowItems>
  <colItems count="1">
    <i/>
  </colItems>
  <dataFields count="1">
    <dataField name="Count of Transaction ID" fld="0" subtotal="count" baseField="0" baseItem="0"/>
  </dataFields>
  <chartFormats count="2">
    <chartFormat chart="25"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008106-C9DF-4996-9ACB-BE75B366754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6" firstHeaderRow="1" firstDataRow="1" firstDataCol="1"/>
  <pivotFields count="16">
    <pivotField dataField="1" showAll="0"/>
    <pivotField showAll="0"/>
    <pivotField showAll="0"/>
    <pivotField showAll="0"/>
    <pivotField showAll="0">
      <items count="6">
        <item x="0"/>
        <item x="1"/>
        <item x="3"/>
        <item x="4"/>
        <item x="2"/>
        <item t="default"/>
      </items>
    </pivotField>
    <pivotField showAll="0"/>
    <pivotField showAll="0"/>
    <pivotField showAll="0"/>
    <pivotField showAll="0"/>
    <pivotField showAll="0"/>
    <pivotField showAll="0">
      <items count="6">
        <item x="4"/>
        <item x="1"/>
        <item x="3"/>
        <item x="2"/>
        <item x="0"/>
        <item t="default"/>
      </items>
    </pivotField>
    <pivotField numFmtId="164" showAll="0"/>
    <pivotField showAll="0">
      <items count="5">
        <item x="0"/>
        <item x="2"/>
        <item x="1"/>
        <item x="3"/>
        <item t="default"/>
      </items>
    </pivotField>
    <pivotField showAll="0"/>
    <pivotField showAll="0"/>
    <pivotField axis="axisRow" showAll="0">
      <items count="13">
        <item x="11"/>
        <item x="9"/>
        <item x="2"/>
        <item x="0"/>
        <item x="6"/>
        <item x="5"/>
        <item x="7"/>
        <item x="4"/>
        <item x="10"/>
        <item x="1"/>
        <item x="8"/>
        <item x="3"/>
        <item t="default"/>
      </items>
    </pivotField>
  </pivotFields>
  <rowFields count="1">
    <field x="15"/>
  </rowFields>
  <rowItems count="13">
    <i>
      <x/>
    </i>
    <i>
      <x v="1"/>
    </i>
    <i>
      <x v="2"/>
    </i>
    <i>
      <x v="3"/>
    </i>
    <i>
      <x v="4"/>
    </i>
    <i>
      <x v="5"/>
    </i>
    <i>
      <x v="6"/>
    </i>
    <i>
      <x v="7"/>
    </i>
    <i>
      <x v="8"/>
    </i>
    <i>
      <x v="9"/>
    </i>
    <i>
      <x v="10"/>
    </i>
    <i>
      <x v="11"/>
    </i>
    <i t="grand">
      <x/>
    </i>
  </rowItems>
  <colItems count="1">
    <i/>
  </colItems>
  <dataFields count="1">
    <dataField name="Count of Transaction ID" fld="0"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935ED3-078C-4A27-BE08-948970229D0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29" firstHeaderRow="1" firstDataRow="1" firstDataCol="1"/>
  <pivotFields count="16">
    <pivotField dataField="1" showAll="0"/>
    <pivotField showAll="0"/>
    <pivotField showAll="0"/>
    <pivotField showAll="0"/>
    <pivotField showAll="0">
      <items count="6">
        <item x="0"/>
        <item x="1"/>
        <item x="3"/>
        <item x="4"/>
        <item x="2"/>
        <item t="default"/>
      </items>
    </pivotField>
    <pivotField showAll="0"/>
    <pivotField axis="axisRow" showAll="0" sortType="descending">
      <items count="26">
        <item x="2"/>
        <item x="7"/>
        <item x="20"/>
        <item x="4"/>
        <item x="23"/>
        <item x="17"/>
        <item x="14"/>
        <item x="12"/>
        <item x="22"/>
        <item x="1"/>
        <item x="19"/>
        <item x="15"/>
        <item x="0"/>
        <item x="11"/>
        <item x="21"/>
        <item x="13"/>
        <item x="18"/>
        <item x="10"/>
        <item x="16"/>
        <item x="8"/>
        <item x="9"/>
        <item x="3"/>
        <item x="5"/>
        <item x="24"/>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4"/>
        <item x="1"/>
        <item x="3"/>
        <item x="2"/>
        <item x="0"/>
        <item t="default"/>
      </items>
    </pivotField>
    <pivotField numFmtId="164" showAll="0"/>
    <pivotField showAll="0">
      <items count="5">
        <item x="0"/>
        <item x="2"/>
        <item x="1"/>
        <item x="3"/>
        <item t="default"/>
      </items>
    </pivotField>
    <pivotField showAll="0"/>
    <pivotField showAll="0"/>
    <pivotField showAll="0">
      <items count="13">
        <item x="11"/>
        <item x="9"/>
        <item x="2"/>
        <item x="0"/>
        <item x="6"/>
        <item x="5"/>
        <item x="7"/>
        <item x="4"/>
        <item x="10"/>
        <item x="1"/>
        <item x="8"/>
        <item x="3"/>
        <item t="default"/>
      </items>
    </pivotField>
  </pivotFields>
  <rowFields count="1">
    <field x="6"/>
  </rowFields>
  <rowItems count="26">
    <i>
      <x v="6"/>
    </i>
    <i>
      <x v="12"/>
    </i>
    <i>
      <x/>
    </i>
    <i>
      <x v="17"/>
    </i>
    <i>
      <x v="5"/>
    </i>
    <i>
      <x v="19"/>
    </i>
    <i>
      <x v="14"/>
    </i>
    <i>
      <x v="4"/>
    </i>
    <i>
      <x v="8"/>
    </i>
    <i>
      <x v="9"/>
    </i>
    <i>
      <x v="24"/>
    </i>
    <i>
      <x v="21"/>
    </i>
    <i>
      <x v="1"/>
    </i>
    <i>
      <x v="3"/>
    </i>
    <i>
      <x v="10"/>
    </i>
    <i>
      <x v="16"/>
    </i>
    <i>
      <x v="11"/>
    </i>
    <i>
      <x v="2"/>
    </i>
    <i>
      <x v="20"/>
    </i>
    <i>
      <x v="7"/>
    </i>
    <i>
      <x v="15"/>
    </i>
    <i>
      <x v="13"/>
    </i>
    <i>
      <x v="22"/>
    </i>
    <i>
      <x v="23"/>
    </i>
    <i>
      <x v="18"/>
    </i>
    <i t="grand">
      <x/>
    </i>
  </rowItems>
  <colItems count="1">
    <i/>
  </colItems>
  <dataFields count="1">
    <dataField name="Count of Transaction ID" fld="0" subtotal="count"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47A59F-1F3B-4B67-A1B1-BCBBB7F23CB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6">
    <pivotField dataField="1" showAll="0"/>
    <pivotField showAll="0"/>
    <pivotField showAll="0"/>
    <pivotField showAll="0"/>
    <pivotField showAll="0">
      <items count="6">
        <item x="0"/>
        <item x="1"/>
        <item x="3"/>
        <item x="4"/>
        <item x="2"/>
        <item t="default"/>
      </items>
    </pivotField>
    <pivotField showAll="0"/>
    <pivotField showAll="0"/>
    <pivotField showAll="0"/>
    <pivotField axis="axisRow" showAll="0">
      <items count="5">
        <item x="0"/>
        <item x="2"/>
        <item x="3"/>
        <item x="1"/>
        <item t="default"/>
      </items>
    </pivotField>
    <pivotField showAll="0"/>
    <pivotField showAll="0">
      <items count="6">
        <item x="4"/>
        <item x="1"/>
        <item x="3"/>
        <item x="2"/>
        <item x="0"/>
        <item t="default"/>
      </items>
    </pivotField>
    <pivotField numFmtId="164" showAll="0"/>
    <pivotField showAll="0">
      <items count="5">
        <item x="0"/>
        <item x="2"/>
        <item x="1"/>
        <item x="3"/>
        <item t="default"/>
      </items>
    </pivotField>
    <pivotField showAll="0"/>
    <pivotField showAll="0"/>
    <pivotField showAll="0">
      <items count="13">
        <item x="11"/>
        <item x="9"/>
        <item x="2"/>
        <item x="0"/>
        <item x="6"/>
        <item x="5"/>
        <item x="7"/>
        <item x="4"/>
        <item x="10"/>
        <item x="1"/>
        <item x="8"/>
        <item x="3"/>
        <item t="default"/>
      </items>
    </pivotField>
  </pivotFields>
  <rowFields count="1">
    <field x="8"/>
  </rowFields>
  <rowItems count="5">
    <i>
      <x/>
    </i>
    <i>
      <x v="1"/>
    </i>
    <i>
      <x v="2"/>
    </i>
    <i>
      <x v="3"/>
    </i>
    <i t="grand">
      <x/>
    </i>
  </rowItems>
  <colItems count="1">
    <i/>
  </colItems>
  <dataFields count="1">
    <dataField name="Count of Transaction ID" fld="0" subtotal="count" baseField="0" baseItem="0"/>
  </dataFields>
  <chartFormats count="10">
    <chartFormat chart="0"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8" count="1" selected="0">
            <x v="0"/>
          </reference>
        </references>
      </pivotArea>
    </chartFormat>
    <chartFormat chart="8" format="8">
      <pivotArea type="data" outline="0" fieldPosition="0">
        <references count="2">
          <reference field="4294967294" count="1" selected="0">
            <x v="0"/>
          </reference>
          <reference field="8" count="1" selected="0">
            <x v="1"/>
          </reference>
        </references>
      </pivotArea>
    </chartFormat>
    <chartFormat chart="8" format="9">
      <pivotArea type="data" outline="0" fieldPosition="0">
        <references count="2">
          <reference field="4294967294" count="1" selected="0">
            <x v="0"/>
          </reference>
          <reference field="8" count="1" selected="0">
            <x v="2"/>
          </reference>
        </references>
      </pivotArea>
    </chartFormat>
    <chartFormat chart="8" format="10">
      <pivotArea type="data" outline="0" fieldPosition="0">
        <references count="2">
          <reference field="4294967294" count="1" selected="0">
            <x v="0"/>
          </reference>
          <reference field="8" count="1" selected="0">
            <x v="3"/>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EE4A12-60FA-4E4E-AF9B-6BA2AF365B9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10" firstHeaderRow="1" firstDataRow="2" firstDataCol="1"/>
  <pivotFields count="16">
    <pivotField dataField="1" showAll="0"/>
    <pivotField showAll="0"/>
    <pivotField showAll="0"/>
    <pivotField showAll="0"/>
    <pivotField axis="axisRow" showAll="0">
      <items count="6">
        <item x="0"/>
        <item x="1"/>
        <item x="3"/>
        <item x="4"/>
        <item x="2"/>
        <item t="default"/>
      </items>
    </pivotField>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pivotField showAll="0"/>
    <pivotField showAll="0">
      <items count="6">
        <item x="4"/>
        <item x="1"/>
        <item x="3"/>
        <item x="2"/>
        <item x="0"/>
        <item t="default"/>
      </items>
    </pivotField>
    <pivotField numFmtId="164" showAll="0"/>
    <pivotField showAll="0">
      <items count="5">
        <item x="0"/>
        <item x="2"/>
        <item x="1"/>
        <item x="3"/>
        <item t="default"/>
      </items>
    </pivotField>
    <pivotField showAll="0"/>
    <pivotField axis="axisCol" showAll="0">
      <items count="3">
        <item x="0"/>
        <item x="1"/>
        <item t="default"/>
      </items>
    </pivotField>
    <pivotField showAll="0">
      <items count="13">
        <item x="11"/>
        <item x="9"/>
        <item x="2"/>
        <item x="0"/>
        <item x="6"/>
        <item x="5"/>
        <item x="7"/>
        <item x="4"/>
        <item x="10"/>
        <item x="1"/>
        <item x="8"/>
        <item x="3"/>
        <item t="default"/>
      </items>
    </pivotField>
  </pivotFields>
  <rowFields count="1">
    <field x="4"/>
  </rowFields>
  <rowItems count="6">
    <i>
      <x/>
    </i>
    <i>
      <x v="1"/>
    </i>
    <i>
      <x v="2"/>
    </i>
    <i>
      <x v="3"/>
    </i>
    <i>
      <x v="4"/>
    </i>
    <i t="grand">
      <x/>
    </i>
  </rowItems>
  <colFields count="1">
    <field x="14"/>
  </colFields>
  <colItems count="3">
    <i>
      <x/>
    </i>
    <i>
      <x v="1"/>
    </i>
    <i t="grand">
      <x/>
    </i>
  </colItems>
  <dataFields count="1">
    <dataField name="Count of Transaction ID" fld="0" subtotal="count" baseField="0" baseItem="0"/>
  </dataField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8B535B-9CC5-4C6A-A46F-73E67DBEF5B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9" firstHeaderRow="1" firstDataRow="1" firstDataCol="1"/>
  <pivotFields count="16">
    <pivotField dataField="1" showAll="0"/>
    <pivotField showAll="0"/>
    <pivotField showAll="0"/>
    <pivotField showAll="0"/>
    <pivotField showAll="0">
      <items count="6">
        <item x="0"/>
        <item x="1"/>
        <item x="3"/>
        <item x="4"/>
        <item x="2"/>
        <item t="default"/>
      </items>
    </pivotField>
    <pivotField showAll="0"/>
    <pivotField showAll="0"/>
    <pivotField showAll="0"/>
    <pivotField showAll="0"/>
    <pivotField showAll="0"/>
    <pivotField axis="axisRow" showAll="0">
      <items count="6">
        <item x="4"/>
        <item x="1"/>
        <item x="3"/>
        <item x="2"/>
        <item x="0"/>
        <item t="default"/>
      </items>
    </pivotField>
    <pivotField numFmtId="164" showAll="0"/>
    <pivotField showAll="0">
      <items count="5">
        <item x="0"/>
        <item x="2"/>
        <item x="1"/>
        <item x="3"/>
        <item t="default"/>
      </items>
    </pivotField>
    <pivotField showAll="0"/>
    <pivotField showAll="0"/>
    <pivotField showAll="0">
      <items count="13">
        <item x="11"/>
        <item x="9"/>
        <item x="2"/>
        <item x="0"/>
        <item x="6"/>
        <item x="5"/>
        <item x="7"/>
        <item x="4"/>
        <item x="10"/>
        <item x="1"/>
        <item x="8"/>
        <item x="3"/>
        <item t="default"/>
      </items>
    </pivotField>
  </pivotFields>
  <rowFields count="1">
    <field x="10"/>
  </rowFields>
  <rowItems count="6">
    <i>
      <x/>
    </i>
    <i>
      <x v="1"/>
    </i>
    <i>
      <x v="2"/>
    </i>
    <i>
      <x v="3"/>
    </i>
    <i>
      <x v="4"/>
    </i>
    <i t="grand">
      <x/>
    </i>
  </rowItems>
  <colItems count="1">
    <i/>
  </colItems>
  <dataFields count="1">
    <dataField name="Count of Transaction ID" fld="0" subtotal="count" baseField="0" baseItem="0"/>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186DB9-54E3-43AD-8466-020C03C3FFA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16">
    <pivotField dataField="1" showAll="0"/>
    <pivotField showAll="0"/>
    <pivotField showAll="0"/>
    <pivotField showAll="0"/>
    <pivotField showAll="0">
      <items count="6">
        <item x="0"/>
        <item x="1"/>
        <item x="3"/>
        <item x="4"/>
        <item x="2"/>
        <item t="default"/>
      </items>
    </pivotField>
    <pivotField showAll="0"/>
    <pivotField showAll="0"/>
    <pivotField showAll="0"/>
    <pivotField showAll="0"/>
    <pivotField showAll="0"/>
    <pivotField showAll="0">
      <items count="6">
        <item x="4"/>
        <item x="1"/>
        <item x="3"/>
        <item x="2"/>
        <item x="0"/>
        <item t="default"/>
      </items>
    </pivotField>
    <pivotField numFmtId="164" showAll="0"/>
    <pivotField axis="axisRow" showAll="0">
      <items count="5">
        <item x="0"/>
        <item x="2"/>
        <item x="1"/>
        <item x="3"/>
        <item t="default"/>
      </items>
    </pivotField>
    <pivotField showAll="0"/>
    <pivotField showAll="0"/>
    <pivotField showAll="0">
      <items count="13">
        <item x="11"/>
        <item x="9"/>
        <item x="2"/>
        <item x="0"/>
        <item x="6"/>
        <item x="5"/>
        <item x="7"/>
        <item x="4"/>
        <item x="10"/>
        <item x="1"/>
        <item x="8"/>
        <item x="3"/>
        <item t="default"/>
      </items>
    </pivotField>
  </pivotFields>
  <rowFields count="1">
    <field x="12"/>
  </rowFields>
  <rowItems count="5">
    <i>
      <x/>
    </i>
    <i>
      <x v="1"/>
    </i>
    <i>
      <x v="2"/>
    </i>
    <i>
      <x v="3"/>
    </i>
    <i t="grand">
      <x/>
    </i>
  </rowItems>
  <colItems count="1">
    <i/>
  </colItems>
  <dataFields count="1">
    <dataField name="Count of Transaction ID" fld="0" subtotal="count" baseField="0" baseItem="0"/>
  </dataFields>
  <chartFormats count="10">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2" count="1" selected="0">
            <x v="0"/>
          </reference>
        </references>
      </pivotArea>
    </chartFormat>
    <chartFormat chart="5" format="8">
      <pivotArea type="data" outline="0" fieldPosition="0">
        <references count="2">
          <reference field="4294967294" count="1" selected="0">
            <x v="0"/>
          </reference>
          <reference field="12" count="1" selected="0">
            <x v="1"/>
          </reference>
        </references>
      </pivotArea>
    </chartFormat>
    <chartFormat chart="5" format="9">
      <pivotArea type="data" outline="0" fieldPosition="0">
        <references count="2">
          <reference field="4294967294" count="1" selected="0">
            <x v="0"/>
          </reference>
          <reference field="12" count="1" selected="0">
            <x v="2"/>
          </reference>
        </references>
      </pivotArea>
    </chartFormat>
    <chartFormat chart="5" format="10">
      <pivotArea type="data" outline="0" fieldPosition="0">
        <references count="2">
          <reference field="4294967294" count="1" selected="0">
            <x v="0"/>
          </reference>
          <reference field="12" count="1" selected="0">
            <x v="3"/>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24F234-0807-4ACA-B3FD-6EC3ACA1427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9" firstHeaderRow="1" firstDataRow="1" firstDataCol="1" rowPageCount="1" colPageCount="1"/>
  <pivotFields count="16">
    <pivotField dataField="1" showAll="0">
      <items count="501">
        <item x="177"/>
        <item x="367"/>
        <item x="343"/>
        <item x="91"/>
        <item x="64"/>
        <item x="133"/>
        <item x="164"/>
        <item x="182"/>
        <item x="55"/>
        <item x="247"/>
        <item x="118"/>
        <item x="418"/>
        <item x="146"/>
        <item x="237"/>
        <item x="464"/>
        <item x="364"/>
        <item x="28"/>
        <item x="147"/>
        <item x="393"/>
        <item x="169"/>
        <item x="384"/>
        <item x="186"/>
        <item x="489"/>
        <item x="345"/>
        <item x="216"/>
        <item x="123"/>
        <item x="283"/>
        <item x="474"/>
        <item x="297"/>
        <item x="112"/>
        <item x="106"/>
        <item x="249"/>
        <item x="211"/>
        <item x="163"/>
        <item x="213"/>
        <item x="452"/>
        <item x="205"/>
        <item x="340"/>
        <item x="109"/>
        <item x="490"/>
        <item x="193"/>
        <item x="102"/>
        <item x="57"/>
        <item x="375"/>
        <item x="300"/>
        <item x="432"/>
        <item x="27"/>
        <item x="254"/>
        <item x="446"/>
        <item x="101"/>
        <item x="401"/>
        <item x="302"/>
        <item x="2"/>
        <item x="76"/>
        <item x="322"/>
        <item x="94"/>
        <item x="140"/>
        <item x="89"/>
        <item x="306"/>
        <item x="495"/>
        <item x="99"/>
        <item x="424"/>
        <item x="454"/>
        <item x="135"/>
        <item x="353"/>
        <item x="44"/>
        <item x="149"/>
        <item x="455"/>
        <item x="67"/>
        <item x="33"/>
        <item x="298"/>
        <item x="156"/>
        <item x="413"/>
        <item x="330"/>
        <item x="437"/>
        <item x="228"/>
        <item x="441"/>
        <item x="304"/>
        <item x="250"/>
        <item x="86"/>
        <item x="409"/>
        <item x="370"/>
        <item x="328"/>
        <item x="137"/>
        <item x="299"/>
        <item x="349"/>
        <item x="202"/>
        <item x="344"/>
        <item x="402"/>
        <item x="233"/>
        <item x="422"/>
        <item x="3"/>
        <item x="119"/>
        <item x="17"/>
        <item x="288"/>
        <item x="189"/>
        <item x="346"/>
        <item x="428"/>
        <item x="49"/>
        <item x="180"/>
        <item x="85"/>
        <item x="15"/>
        <item x="315"/>
        <item x="155"/>
        <item x="56"/>
        <item x="286"/>
        <item x="21"/>
        <item x="157"/>
        <item x="37"/>
        <item x="443"/>
        <item x="380"/>
        <item x="248"/>
        <item x="319"/>
        <item x="323"/>
        <item x="381"/>
        <item x="265"/>
        <item x="387"/>
        <item x="492"/>
        <item x="421"/>
        <item x="361"/>
        <item x="290"/>
        <item x="390"/>
        <item x="350"/>
        <item x="366"/>
        <item x="144"/>
        <item x="473"/>
        <item x="82"/>
        <item x="246"/>
        <item x="423"/>
        <item x="170"/>
        <item x="234"/>
        <item x="374"/>
        <item x="498"/>
        <item x="54"/>
        <item x="309"/>
        <item x="24"/>
        <item x="114"/>
        <item x="427"/>
        <item x="270"/>
        <item x="465"/>
        <item x="14"/>
        <item x="240"/>
        <item x="310"/>
        <item x="494"/>
        <item x="487"/>
        <item x="293"/>
        <item x="73"/>
        <item x="303"/>
        <item x="111"/>
        <item x="19"/>
        <item x="120"/>
        <item x="468"/>
        <item x="320"/>
        <item x="47"/>
        <item x="116"/>
        <item x="18"/>
        <item x="476"/>
        <item x="435"/>
        <item x="272"/>
        <item x="486"/>
        <item x="386"/>
        <item x="324"/>
        <item x="337"/>
        <item x="406"/>
        <item x="475"/>
        <item x="469"/>
        <item x="95"/>
        <item x="408"/>
        <item x="377"/>
        <item x="458"/>
        <item x="460"/>
        <item x="457"/>
        <item x="480"/>
        <item x="69"/>
        <item x="40"/>
        <item x="29"/>
        <item x="87"/>
        <item x="433"/>
        <item x="263"/>
        <item x="63"/>
        <item x="308"/>
        <item x="39"/>
        <item x="231"/>
        <item x="342"/>
        <item x="204"/>
        <item x="92"/>
        <item x="60"/>
        <item x="125"/>
        <item x="203"/>
        <item x="358"/>
        <item x="224"/>
        <item x="339"/>
        <item x="305"/>
        <item x="277"/>
        <item x="453"/>
        <item x="363"/>
        <item x="129"/>
        <item x="45"/>
        <item x="74"/>
        <item x="419"/>
        <item x="396"/>
        <item x="6"/>
        <item x="223"/>
        <item x="329"/>
        <item x="197"/>
        <item x="161"/>
        <item x="36"/>
        <item x="58"/>
        <item x="174"/>
        <item x="38"/>
        <item x="215"/>
        <item x="318"/>
        <item x="388"/>
        <item x="471"/>
        <item x="221"/>
        <item x="139"/>
        <item x="227"/>
        <item x="195"/>
        <item x="456"/>
        <item x="307"/>
        <item x="271"/>
        <item x="244"/>
        <item x="287"/>
        <item x="284"/>
        <item x="311"/>
        <item x="107"/>
        <item x="472"/>
        <item x="466"/>
        <item x="84"/>
        <item x="336"/>
        <item x="325"/>
        <item x="405"/>
        <item x="183"/>
        <item x="262"/>
        <item x="425"/>
        <item x="4"/>
        <item x="117"/>
        <item x="440"/>
        <item x="166"/>
        <item x="81"/>
        <item x="128"/>
        <item x="210"/>
        <item x="439"/>
        <item x="314"/>
        <item x="220"/>
        <item x="395"/>
        <item x="145"/>
        <item x="362"/>
        <item x="154"/>
        <item x="267"/>
        <item x="394"/>
        <item x="341"/>
        <item x="238"/>
        <item x="229"/>
        <item x="35"/>
        <item x="470"/>
        <item x="261"/>
        <item x="214"/>
        <item x="138"/>
        <item x="126"/>
        <item x="289"/>
        <item x="209"/>
        <item x="483"/>
        <item x="83"/>
        <item x="236"/>
        <item x="22"/>
        <item x="252"/>
        <item x="191"/>
        <item x="173"/>
        <item x="312"/>
        <item x="200"/>
        <item x="463"/>
        <item x="152"/>
        <item x="130"/>
        <item x="479"/>
        <item x="98"/>
        <item x="292"/>
        <item x="172"/>
        <item x="347"/>
        <item x="46"/>
        <item x="13"/>
        <item x="383"/>
        <item x="26"/>
        <item x="488"/>
        <item x="417"/>
        <item x="404"/>
        <item x="253"/>
        <item x="429"/>
        <item x="243"/>
        <item x="449"/>
        <item x="294"/>
        <item x="59"/>
        <item x="232"/>
        <item x="255"/>
        <item x="497"/>
        <item x="235"/>
        <item x="218"/>
        <item x="153"/>
        <item x="77"/>
        <item x="331"/>
        <item x="48"/>
        <item x="416"/>
        <item x="420"/>
        <item x="481"/>
        <item x="459"/>
        <item x="178"/>
        <item x="398"/>
        <item x="411"/>
        <item x="274"/>
        <item x="485"/>
        <item x="436"/>
        <item x="301"/>
        <item x="276"/>
        <item x="31"/>
        <item x="368"/>
        <item x="434"/>
        <item x="282"/>
        <item x="143"/>
        <item x="431"/>
        <item x="196"/>
        <item x="162"/>
        <item x="104"/>
        <item x="279"/>
        <item x="484"/>
        <item x="296"/>
        <item x="351"/>
        <item x="482"/>
        <item x="20"/>
        <item x="212"/>
        <item x="280"/>
        <item x="219"/>
        <item x="11"/>
        <item x="124"/>
        <item x="378"/>
        <item x="278"/>
        <item x="335"/>
        <item x="194"/>
        <item x="68"/>
        <item x="66"/>
        <item x="176"/>
        <item x="360"/>
        <item x="397"/>
        <item x="23"/>
        <item x="316"/>
        <item x="71"/>
        <item x="451"/>
        <item x="430"/>
        <item x="462"/>
        <item x="291"/>
        <item x="355"/>
        <item x="496"/>
        <item x="207"/>
        <item x="198"/>
        <item x="245"/>
        <item x="42"/>
        <item x="412"/>
        <item x="225"/>
        <item x="392"/>
        <item x="159"/>
        <item x="348"/>
        <item x="185"/>
        <item x="7"/>
        <item x="52"/>
        <item x="326"/>
        <item x="334"/>
        <item x="1"/>
        <item x="442"/>
        <item x="389"/>
        <item x="97"/>
        <item x="447"/>
        <item x="376"/>
        <item x="333"/>
        <item x="266"/>
        <item x="448"/>
        <item x="34"/>
        <item x="414"/>
        <item x="226"/>
        <item x="257"/>
        <item x="356"/>
        <item x="461"/>
        <item x="369"/>
        <item x="400"/>
        <item x="285"/>
        <item x="51"/>
        <item x="0"/>
        <item x="295"/>
        <item x="410"/>
        <item x="188"/>
        <item x="184"/>
        <item x="53"/>
        <item x="79"/>
        <item x="70"/>
        <item x="192"/>
        <item x="239"/>
        <item x="352"/>
        <item x="264"/>
        <item x="134"/>
        <item x="179"/>
        <item x="467"/>
        <item x="222"/>
        <item x="478"/>
        <item x="41"/>
        <item x="371"/>
        <item x="321"/>
        <item x="148"/>
        <item x="407"/>
        <item x="30"/>
        <item x="181"/>
        <item x="379"/>
        <item x="115"/>
        <item x="160"/>
        <item x="499"/>
        <item x="12"/>
        <item x="217"/>
        <item x="168"/>
        <item x="151"/>
        <item x="372"/>
        <item x="121"/>
        <item x="477"/>
        <item x="150"/>
        <item x="385"/>
        <item x="242"/>
        <item x="426"/>
        <item x="241"/>
        <item x="365"/>
        <item x="80"/>
        <item x="141"/>
        <item x="132"/>
        <item x="438"/>
        <item x="327"/>
        <item x="75"/>
        <item x="61"/>
        <item x="201"/>
        <item x="96"/>
        <item x="90"/>
        <item x="359"/>
        <item x="187"/>
        <item x="50"/>
        <item x="93"/>
        <item x="103"/>
        <item x="268"/>
        <item x="158"/>
        <item x="9"/>
        <item x="122"/>
        <item x="136"/>
        <item x="25"/>
        <item x="105"/>
        <item x="491"/>
        <item x="399"/>
        <item x="65"/>
        <item x="8"/>
        <item x="259"/>
        <item x="78"/>
        <item x="72"/>
        <item x="273"/>
        <item x="269"/>
        <item x="175"/>
        <item x="199"/>
        <item x="382"/>
        <item x="493"/>
        <item x="251"/>
        <item x="256"/>
        <item x="317"/>
        <item x="415"/>
        <item x="373"/>
        <item x="100"/>
        <item x="142"/>
        <item x="260"/>
        <item x="281"/>
        <item x="275"/>
        <item x="165"/>
        <item x="208"/>
        <item x="5"/>
        <item x="10"/>
        <item x="167"/>
        <item x="230"/>
        <item x="445"/>
        <item x="108"/>
        <item x="403"/>
        <item x="190"/>
        <item x="332"/>
        <item x="110"/>
        <item x="444"/>
        <item x="313"/>
        <item x="16"/>
        <item x="357"/>
        <item x="206"/>
        <item x="338"/>
        <item x="88"/>
        <item x="113"/>
        <item x="43"/>
        <item x="450"/>
        <item x="354"/>
        <item x="131"/>
        <item x="62"/>
        <item x="258"/>
        <item x="127"/>
        <item x="32"/>
        <item x="391"/>
        <item x="171"/>
        <item t="default"/>
      </items>
    </pivotField>
    <pivotField showAll="0"/>
    <pivotField showAll="0"/>
    <pivotField showAll="0"/>
    <pivotField showAll="0">
      <items count="6">
        <item x="0"/>
        <item x="1"/>
        <item x="3"/>
        <item x="4"/>
        <item x="2"/>
        <item t="default"/>
      </items>
    </pivotField>
    <pivotField axis="axisRow"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pivotField showAll="0"/>
    <pivotField showAll="0"/>
    <pivotField showAll="0">
      <items count="6">
        <item x="4"/>
        <item x="1"/>
        <item x="3"/>
        <item x="2"/>
        <item x="0"/>
        <item t="default"/>
      </items>
    </pivotField>
    <pivotField numFmtId="164" showAll="0"/>
    <pivotField showAll="0">
      <items count="5">
        <item x="0"/>
        <item x="2"/>
        <item x="1"/>
        <item x="3"/>
        <item t="default"/>
      </items>
    </pivotField>
    <pivotField showAll="0"/>
    <pivotField axis="axisPage" showAll="0">
      <items count="3">
        <item x="0"/>
        <item x="1"/>
        <item t="default"/>
      </items>
    </pivotField>
    <pivotField showAll="0">
      <items count="13">
        <item x="11"/>
        <item x="9"/>
        <item x="2"/>
        <item x="0"/>
        <item x="6"/>
        <item x="5"/>
        <item x="7"/>
        <item x="4"/>
        <item x="10"/>
        <item x="1"/>
        <item x="8"/>
        <item x="3"/>
        <item t="default"/>
      </items>
    </pivotField>
  </pivotFields>
  <rowFields count="1">
    <field x="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pageFields count="1">
    <pageField fld="14" hier="-1"/>
  </pageField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78D205-E340-4B29-AE01-F920339C90A7}"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A4" firstHeaderRow="1" firstDataRow="1" firstDataCol="0"/>
  <pivotFields count="16">
    <pivotField dataField="1" showAll="0"/>
    <pivotField showAll="0"/>
    <pivotField showAll="0"/>
    <pivotField showAll="0"/>
    <pivotField showAll="0">
      <items count="6">
        <item x="0"/>
        <item x="1"/>
        <item x="3"/>
        <item x="4"/>
        <item x="2"/>
        <item t="default"/>
      </items>
    </pivotField>
    <pivotField showAll="0"/>
    <pivotField showAll="0"/>
    <pivotField showAll="0"/>
    <pivotField showAll="0"/>
    <pivotField showAll="0"/>
    <pivotField showAll="0">
      <items count="6">
        <item x="4"/>
        <item x="1"/>
        <item x="3"/>
        <item x="2"/>
        <item x="0"/>
        <item t="default"/>
      </items>
    </pivotField>
    <pivotField numFmtId="164" showAll="0"/>
    <pivotField showAll="0">
      <items count="5">
        <item x="0"/>
        <item x="2"/>
        <item x="1"/>
        <item x="3"/>
        <item t="default"/>
      </items>
    </pivotField>
    <pivotField showAll="0"/>
    <pivotField showAll="0"/>
    <pivotField showAll="0">
      <items count="13">
        <item x="11"/>
        <item x="9"/>
        <item x="2"/>
        <item x="0"/>
        <item x="6"/>
        <item x="5"/>
        <item x="7"/>
        <item x="4"/>
        <item x="10"/>
        <item x="1"/>
        <item x="8"/>
        <item x="3"/>
        <item t="default"/>
      </items>
    </pivotField>
  </pivotFields>
  <rowItems count="1">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F3FBAE-782E-4D06-9DEA-B00EF368E52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showAll="0"/>
    <pivotField showAll="0"/>
    <pivotField showAll="0"/>
    <pivotField showAll="0">
      <items count="6">
        <item x="0"/>
        <item x="1"/>
        <item x="3"/>
        <item x="4"/>
        <item x="2"/>
        <item t="default"/>
      </items>
    </pivotField>
    <pivotField showAll="0"/>
    <pivotField showAll="0"/>
    <pivotField showAll="0"/>
    <pivotField showAll="0"/>
    <pivotField dataField="1" showAll="0"/>
    <pivotField showAll="0">
      <items count="6">
        <item x="4"/>
        <item x="1"/>
        <item x="3"/>
        <item x="2"/>
        <item x="0"/>
        <item t="default"/>
      </items>
    </pivotField>
    <pivotField numFmtId="164" showAll="0"/>
    <pivotField showAll="0">
      <items count="5">
        <item x="0"/>
        <item x="2"/>
        <item x="1"/>
        <item x="3"/>
        <item t="default"/>
      </items>
    </pivotField>
    <pivotField showAll="0"/>
    <pivotField showAll="0"/>
    <pivotField showAll="0">
      <items count="13">
        <item x="11"/>
        <item x="9"/>
        <item x="2"/>
        <item x="0"/>
        <item x="6"/>
        <item x="5"/>
        <item x="7"/>
        <item x="4"/>
        <item x="10"/>
        <item x="1"/>
        <item x="8"/>
        <item x="3"/>
        <item t="default"/>
      </items>
    </pivotField>
  </pivotFields>
  <rowItems count="1">
    <i/>
  </rowItems>
  <colItems count="1">
    <i/>
  </colItems>
  <dataFields count="1">
    <dataField name="Sum of Transaction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876BCE0-2AE7-4BA8-9EF7-D78D31AB742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16">
    <pivotField dataField="1" showAll="0"/>
    <pivotField showAll="0"/>
    <pivotField showAll="0"/>
    <pivotField showAll="0"/>
    <pivotField showAll="0">
      <items count="6">
        <item x="0"/>
        <item x="1"/>
        <item x="3"/>
        <item x="4"/>
        <item x="2"/>
        <item t="default"/>
      </items>
    </pivotField>
    <pivotField showAll="0"/>
    <pivotField showAll="0"/>
    <pivotField showAll="0"/>
    <pivotField showAll="0"/>
    <pivotField showAll="0"/>
    <pivotField showAll="0">
      <items count="6">
        <item x="4"/>
        <item x="1"/>
        <item x="3"/>
        <item x="2"/>
        <item x="0"/>
        <item t="default"/>
      </items>
    </pivotField>
    <pivotField numFmtId="164" showAll="0"/>
    <pivotField showAll="0">
      <items count="5">
        <item x="0"/>
        <item x="2"/>
        <item x="1"/>
        <item x="3"/>
        <item t="default"/>
      </items>
    </pivotField>
    <pivotField showAll="0"/>
    <pivotField axis="axisPage" showAll="0">
      <items count="3">
        <item x="0"/>
        <item x="1"/>
        <item t="default"/>
      </items>
    </pivotField>
    <pivotField showAll="0">
      <items count="13">
        <item x="11"/>
        <item x="9"/>
        <item x="2"/>
        <item x="0"/>
        <item x="6"/>
        <item x="5"/>
        <item x="7"/>
        <item x="4"/>
        <item x="10"/>
        <item x="1"/>
        <item x="8"/>
        <item x="3"/>
        <item t="default"/>
      </items>
    </pivotField>
  </pivotFields>
  <rowItems count="1">
    <i/>
  </rowItems>
  <colItems count="1">
    <i/>
  </colItems>
  <pageFields count="1">
    <pageField fld="14" item="1" hier="-1"/>
  </pageField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2FDF41E-8915-43AD-8707-8B8DC370122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16">
    <pivotField dataField="1" showAll="0"/>
    <pivotField showAll="0"/>
    <pivotField showAll="0"/>
    <pivotField showAll="0"/>
    <pivotField showAll="0">
      <items count="6">
        <item x="0"/>
        <item x="1"/>
        <item x="3"/>
        <item x="4"/>
        <item x="2"/>
        <item t="default"/>
      </items>
    </pivotField>
    <pivotField showAll="0"/>
    <pivotField showAll="0"/>
    <pivotField showAll="0"/>
    <pivotField showAll="0"/>
    <pivotField showAll="0"/>
    <pivotField showAll="0">
      <items count="6">
        <item x="4"/>
        <item x="1"/>
        <item x="3"/>
        <item x="2"/>
        <item x="0"/>
        <item t="default"/>
      </items>
    </pivotField>
    <pivotField numFmtId="164" showAll="0"/>
    <pivotField axis="axisPage" multipleItemSelectionAllowed="1" showAll="0">
      <items count="5">
        <item h="1" x="0"/>
        <item x="2"/>
        <item h="1" x="1"/>
        <item x="3"/>
        <item t="default"/>
      </items>
    </pivotField>
    <pivotField showAll="0"/>
    <pivotField showAll="0"/>
    <pivotField showAll="0">
      <items count="13">
        <item x="11"/>
        <item x="9"/>
        <item x="2"/>
        <item x="0"/>
        <item x="6"/>
        <item x="5"/>
        <item x="7"/>
        <item x="4"/>
        <item x="10"/>
        <item x="1"/>
        <item x="8"/>
        <item x="3"/>
        <item t="default"/>
      </items>
    </pivotField>
  </pivotFields>
  <rowItems count="1">
    <i/>
  </rowItems>
  <colItems count="1">
    <i/>
  </colItems>
  <pageFields count="1">
    <pageField fld="12" hier="-1"/>
  </pageField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568F753-B4AC-412C-B711-65AFA965E850}" sourceName="Region">
  <pivotTables>
    <pivotTable tabId="2" name="PivotTable1"/>
    <pivotTable tabId="5" name="PivotTable1"/>
    <pivotTable tabId="11" name="PivotTable7"/>
    <pivotTable tabId="7" name="PivotTable3"/>
    <pivotTable tabId="8" name="PivotTable4"/>
    <pivotTable tabId="9" name="PivotTable5"/>
    <pivotTable tabId="10" name="PivotTable6"/>
    <pivotTable tabId="6" name="PivotTable2"/>
    <pivotTable tabId="12" name="PivotTable8"/>
    <pivotTable tabId="17" name="PivotTable9"/>
    <pivotTable tabId="18" name="PivotTable10"/>
    <pivotTable tabId="19" name="PivotTable11"/>
  </pivotTables>
  <data>
    <tabular pivotCacheId="312829203">
      <items count="5">
        <i x="0" s="1"/>
        <i x="1"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871DD029-42A3-4D89-B15C-994684D380E2}" sourceName="Payment Mode">
  <pivotTables>
    <pivotTable tabId="2" name="PivotTable1"/>
    <pivotTable tabId="5" name="PivotTable1"/>
    <pivotTable tabId="11" name="PivotTable7"/>
    <pivotTable tabId="7" name="PivotTable3"/>
    <pivotTable tabId="8" name="PivotTable4"/>
    <pivotTable tabId="9" name="PivotTable5"/>
    <pivotTable tabId="10" name="PivotTable6"/>
    <pivotTable tabId="6" name="PivotTable2"/>
    <pivotTable tabId="12" name="PivotTable8"/>
    <pivotTable tabId="17" name="PivotTable9"/>
    <pivotTable tabId="18" name="PivotTable10"/>
    <pivotTable tabId="19" name="PivotTable11"/>
  </pivotTables>
  <data>
    <tabular pivotCacheId="312829203">
      <items count="5">
        <i x="4" s="1"/>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2E1F6E4-7C09-4CC5-9AEC-A337099D2893}" sourceName="month">
  <pivotTables>
    <pivotTable tabId="5" name="PivotTable1"/>
    <pivotTable tabId="2" name="PivotTable1"/>
    <pivotTable tabId="11" name="PivotTable7"/>
    <pivotTable tabId="12" name="PivotTable8"/>
    <pivotTable tabId="17" name="PivotTable9"/>
    <pivotTable tabId="18" name="PivotTable10"/>
    <pivotTable tabId="19" name="PivotTable11"/>
    <pivotTable tabId="7" name="PivotTable3"/>
    <pivotTable tabId="8" name="PivotTable4"/>
    <pivotTable tabId="9" name="PivotTable5"/>
    <pivotTable tabId="10" name="PivotTable6"/>
    <pivotTable tabId="6" name="PivotTable2"/>
  </pivotTables>
  <data>
    <tabular pivotCacheId="312829203">
      <items count="12">
        <i x="11" s="1"/>
        <i x="9" s="1"/>
        <i x="2" s="1"/>
        <i x="0" s="1"/>
        <i x="6" s="1"/>
        <i x="5" s="1"/>
        <i x="7" s="1"/>
        <i x="4" s="1"/>
        <i x="10" s="1"/>
        <i x="1" s="1"/>
        <i x="8"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05995C9-F3DA-4E4F-B342-6D354E6CB7D8}" cache="Slicer_Region" caption="Region" rowHeight="234950"/>
  <slicer name="Payment Mode" xr10:uid="{7B5FB19F-5EF5-4214-B559-4A71085491C7}" cache="Slicer_Payment_Mode" caption="Payment Mode" rowHeight="234950"/>
  <slicer name="month" xr10:uid="{BE9C3C59-83C6-4417-BF9C-B7F91CEAB6F8}" cache="Slicer_month" caption="month" startItem="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9C12EF-25BE-49E9-A16F-098157BB877E}" name="Table1" displayName="Table1" ref="A1:P501" totalsRowShown="0" headerRowDxfId="17" dataDxfId="16">
  <autoFilter ref="A1:P501" xr:uid="{00000000-0001-0000-0000-000000000000}"/>
  <tableColumns count="16">
    <tableColumn id="1" xr3:uid="{436364B0-B178-486F-9B29-8F42EF3678CF}" name="Transaction ID" dataDxfId="15"/>
    <tableColumn id="2" xr3:uid="{0C212EB6-AC83-40D4-BEC8-0BAE30890E00}" name="Customer ID" dataDxfId="14"/>
    <tableColumn id="3" xr3:uid="{D45F19BA-1448-4470-8AD0-2B5519D083E7}" name="Customer Name" dataDxfId="13"/>
    <tableColumn id="4" xr3:uid="{AB671627-BB33-4B7C-BC12-BEB85525C56B}" name="Account Number" dataDxfId="12"/>
    <tableColumn id="5" xr3:uid="{A2A5B98D-E558-4255-A85A-05734613DA7E}" name="Region" dataDxfId="11"/>
    <tableColumn id="6" xr3:uid="{8570D203-10C9-47C1-BF1B-9E8EAE51BF02}" name="City" dataDxfId="10"/>
    <tableColumn id="7" xr3:uid="{0C961AB6-AF80-4F9E-9E32-A8C9783D6C3E}" name="Branch Name" dataDxfId="9"/>
    <tableColumn id="8" xr3:uid="{0C31A4AA-A713-4598-87F6-D053F36C02D1}" name="Account Type" dataDxfId="8"/>
    <tableColumn id="9" xr3:uid="{F776F138-1B9B-41A7-8C43-0496B5C7B5F8}" name="Transaction Type" dataDxfId="7"/>
    <tableColumn id="10" xr3:uid="{A582D994-3785-4A12-9210-962379B55154}" name="Transaction Amount" dataDxfId="6"/>
    <tableColumn id="11" xr3:uid="{3BD6ADB1-DC88-4127-9B71-2BE650393502}" name="Payment Mode" dataDxfId="5"/>
    <tableColumn id="12" xr3:uid="{097FB2C1-2BA2-4F4E-AC23-D37083E40222}" name="Transaction Date" dataDxfId="4"/>
    <tableColumn id="13" xr3:uid="{1B9980DF-93C8-4C08-95E2-17A75EDB1A70}" name="Transaction Status" dataDxfId="3"/>
    <tableColumn id="14" xr3:uid="{0C2F4CCF-63B2-475C-8AD0-521A03BA90D7}" name="Balance After Txn" dataDxfId="2"/>
    <tableColumn id="15" xr3:uid="{C485A7E8-8701-45AD-AAEF-4CC9C2165DAA}" name="Is Fraud" dataDxfId="1"/>
    <tableColumn id="16" xr3:uid="{1DC5D4F0-F659-4E7C-9AC8-613ACA9B8A40}" name="month" dataDxfId="0">
      <calculatedColumnFormula>TEXT(Table1[[#This Row],[Transaction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0893E-60D6-44AF-B5B6-53439C0054C9}">
  <dimension ref="A3:B8"/>
  <sheetViews>
    <sheetView workbookViewId="0">
      <selection activeCell="A3" sqref="A3"/>
    </sheetView>
  </sheetViews>
  <sheetFormatPr defaultRowHeight="14.4" x14ac:dyDescent="0.3"/>
  <cols>
    <col min="1" max="1" width="12.5546875" bestFit="1" customWidth="1"/>
    <col min="2" max="2" width="21" bestFit="1" customWidth="1"/>
    <col min="3" max="6" width="11" bestFit="1" customWidth="1"/>
    <col min="7" max="7" width="12" bestFit="1" customWidth="1"/>
    <col min="8" max="25" width="15.5546875" bestFit="1" customWidth="1"/>
    <col min="26" max="26" width="10.77734375" bestFit="1" customWidth="1"/>
  </cols>
  <sheetData>
    <row r="3" spans="1:2" x14ac:dyDescent="0.3">
      <c r="A3" s="4" t="s">
        <v>1091</v>
      </c>
      <c r="B3" t="s">
        <v>1105</v>
      </c>
    </row>
    <row r="4" spans="1:2" x14ac:dyDescent="0.3">
      <c r="A4" s="5" t="s">
        <v>17</v>
      </c>
      <c r="B4" s="15">
        <v>98</v>
      </c>
    </row>
    <row r="5" spans="1:2" x14ac:dyDescent="0.3">
      <c r="A5" s="5" t="s">
        <v>27</v>
      </c>
      <c r="B5" s="15">
        <v>94</v>
      </c>
    </row>
    <row r="6" spans="1:2" x14ac:dyDescent="0.3">
      <c r="A6" s="5" t="s">
        <v>63</v>
      </c>
      <c r="B6" s="15">
        <v>110</v>
      </c>
    </row>
    <row r="7" spans="1:2" x14ac:dyDescent="0.3">
      <c r="A7" s="5" t="s">
        <v>90</v>
      </c>
      <c r="B7" s="15">
        <v>97</v>
      </c>
    </row>
    <row r="8" spans="1:2" x14ac:dyDescent="0.3">
      <c r="A8" s="5" t="s">
        <v>34</v>
      </c>
      <c r="B8" s="15">
        <v>101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84F10-2685-42F6-A5B5-3565F20E7637}">
  <dimension ref="A1:AC35"/>
  <sheetViews>
    <sheetView showGridLines="0" tabSelected="1" zoomScale="80" zoomScaleNormal="175" workbookViewId="0">
      <selection activeCell="K5" sqref="K5"/>
    </sheetView>
  </sheetViews>
  <sheetFormatPr defaultRowHeight="14.4" x14ac:dyDescent="0.3"/>
  <cols>
    <col min="5" max="5" width="8.88671875" customWidth="1"/>
  </cols>
  <sheetData>
    <row r="1" spans="1:29" ht="28.8" x14ac:dyDescent="0.55000000000000004">
      <c r="A1" s="14" t="s">
        <v>1104</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row>
    <row r="2" spans="1:29" x14ac:dyDescent="0.3">
      <c r="A2" s="8"/>
      <c r="B2" s="8"/>
      <c r="C2" s="8"/>
      <c r="D2" s="7"/>
      <c r="E2" s="7"/>
      <c r="F2" s="7"/>
      <c r="G2" s="7"/>
      <c r="H2" s="7"/>
      <c r="I2" s="7"/>
      <c r="J2" s="7"/>
      <c r="K2" s="7"/>
      <c r="L2" s="7"/>
      <c r="M2" s="7"/>
      <c r="N2" s="7"/>
      <c r="O2" s="7"/>
      <c r="P2" s="7"/>
      <c r="Q2" s="7"/>
      <c r="R2" s="7"/>
      <c r="S2" s="7"/>
      <c r="T2" s="7"/>
      <c r="U2" s="7"/>
      <c r="V2" s="6"/>
      <c r="W2" s="6"/>
      <c r="X2" s="6"/>
      <c r="Y2" s="6"/>
      <c r="Z2" s="6"/>
      <c r="AA2" s="6"/>
      <c r="AB2" s="6"/>
      <c r="AC2" s="6"/>
    </row>
    <row r="3" spans="1:29" x14ac:dyDescent="0.3">
      <c r="A3" s="8"/>
      <c r="B3" s="8"/>
      <c r="C3" s="8"/>
      <c r="D3" s="7"/>
      <c r="E3" s="7"/>
      <c r="F3" s="7"/>
      <c r="G3" s="7"/>
      <c r="H3" s="7"/>
      <c r="I3" s="7"/>
      <c r="J3" s="7"/>
      <c r="K3" s="7"/>
      <c r="L3" s="7"/>
      <c r="M3" s="7"/>
      <c r="N3" s="7"/>
      <c r="O3" s="7"/>
      <c r="P3" s="7"/>
      <c r="Q3" s="7"/>
      <c r="R3" s="7"/>
      <c r="S3" s="7"/>
      <c r="T3" s="7"/>
      <c r="U3" s="7"/>
      <c r="V3" s="6"/>
      <c r="W3" s="6"/>
      <c r="X3" s="6"/>
      <c r="Y3" s="6"/>
      <c r="Z3" s="6"/>
      <c r="AA3" s="6"/>
      <c r="AB3" s="6"/>
      <c r="AC3" s="6"/>
    </row>
    <row r="4" spans="1:29" x14ac:dyDescent="0.3">
      <c r="A4" s="8"/>
      <c r="B4" s="8"/>
      <c r="C4" s="8"/>
      <c r="D4" s="7"/>
      <c r="E4" s="7"/>
      <c r="F4" s="7"/>
      <c r="G4" s="7"/>
      <c r="H4" s="7"/>
      <c r="I4" s="7"/>
      <c r="J4" s="7"/>
      <c r="K4" s="7"/>
      <c r="L4" s="7"/>
      <c r="M4" s="7"/>
      <c r="N4" s="7"/>
      <c r="O4" s="7"/>
      <c r="P4" s="7"/>
      <c r="Q4" s="7"/>
      <c r="R4" s="7"/>
      <c r="S4" s="7"/>
      <c r="T4" s="7"/>
      <c r="U4" s="7"/>
      <c r="V4" s="6"/>
      <c r="W4" s="6"/>
      <c r="X4" s="6"/>
      <c r="Y4" s="6"/>
      <c r="Z4" s="6"/>
      <c r="AA4" s="6"/>
      <c r="AB4" s="6"/>
      <c r="AC4" s="6"/>
    </row>
    <row r="5" spans="1:29" x14ac:dyDescent="0.3">
      <c r="A5" s="8"/>
      <c r="B5" s="8"/>
      <c r="C5" s="8"/>
      <c r="D5" s="7"/>
      <c r="E5" s="7"/>
      <c r="F5" s="7"/>
      <c r="G5" s="7"/>
      <c r="H5" s="7"/>
      <c r="I5" s="7"/>
      <c r="J5" s="7"/>
      <c r="K5" s="7"/>
      <c r="L5" s="7"/>
      <c r="M5" s="7"/>
      <c r="N5" s="7"/>
      <c r="O5" s="7"/>
      <c r="P5" s="7"/>
      <c r="Q5" s="7"/>
      <c r="R5" s="7"/>
      <c r="S5" s="7"/>
      <c r="T5" s="7"/>
      <c r="U5" s="7"/>
      <c r="V5" s="6"/>
      <c r="W5" s="6"/>
      <c r="X5" s="6"/>
      <c r="Y5" s="6"/>
      <c r="Z5" s="6"/>
      <c r="AA5" s="6"/>
      <c r="AB5" s="6"/>
      <c r="AC5" s="6"/>
    </row>
    <row r="6" spans="1:29" x14ac:dyDescent="0.3">
      <c r="A6" s="8"/>
      <c r="B6" s="8"/>
      <c r="C6" s="8"/>
      <c r="D6" s="7"/>
      <c r="E6" s="7"/>
      <c r="F6" s="7"/>
      <c r="G6" s="7"/>
      <c r="H6" s="7"/>
      <c r="I6" s="7"/>
      <c r="J6" s="7"/>
      <c r="K6" s="7"/>
      <c r="L6" s="7"/>
      <c r="M6" s="7"/>
      <c r="N6" s="7"/>
      <c r="O6" s="7"/>
      <c r="P6" s="7"/>
      <c r="Q6" s="7"/>
      <c r="R6" s="7"/>
      <c r="S6" s="7"/>
      <c r="T6" s="7"/>
      <c r="U6" s="7"/>
      <c r="V6" s="6"/>
      <c r="W6" s="6"/>
      <c r="X6" s="6"/>
      <c r="Y6" s="6"/>
      <c r="Z6" s="6"/>
      <c r="AA6" s="6"/>
      <c r="AB6" s="6"/>
      <c r="AC6" s="6"/>
    </row>
    <row r="7" spans="1:29" x14ac:dyDescent="0.3">
      <c r="A7" s="8"/>
      <c r="B7" s="8"/>
      <c r="C7" s="8"/>
      <c r="D7" s="7"/>
      <c r="E7" s="7"/>
      <c r="F7" s="7"/>
      <c r="G7" s="7"/>
      <c r="H7" s="7"/>
      <c r="I7" s="7"/>
      <c r="J7" s="7"/>
      <c r="K7" s="7"/>
      <c r="L7" s="7"/>
      <c r="M7" s="7"/>
      <c r="N7" s="7"/>
      <c r="O7" s="7"/>
      <c r="P7" s="7"/>
      <c r="Q7" s="7"/>
      <c r="R7" s="7"/>
      <c r="S7" s="7"/>
      <c r="T7" s="7"/>
      <c r="U7" s="7"/>
      <c r="V7" s="6"/>
      <c r="W7" s="6"/>
      <c r="X7" s="6"/>
      <c r="Y7" s="6"/>
      <c r="Z7" s="6"/>
      <c r="AA7" s="6"/>
      <c r="AB7" s="6"/>
      <c r="AC7" s="6"/>
    </row>
    <row r="8" spans="1:29" x14ac:dyDescent="0.3">
      <c r="A8" s="8"/>
      <c r="B8" s="8"/>
      <c r="C8" s="8"/>
      <c r="D8" s="7"/>
      <c r="E8" s="7"/>
      <c r="F8" s="7"/>
      <c r="G8" s="7"/>
      <c r="H8" s="7"/>
      <c r="I8" s="7"/>
      <c r="J8" s="7"/>
      <c r="K8" s="7"/>
      <c r="L8" s="7"/>
      <c r="M8" s="7"/>
      <c r="N8" s="7"/>
      <c r="O8" s="7"/>
      <c r="P8" s="7"/>
      <c r="Q8" s="7"/>
      <c r="R8" s="7"/>
      <c r="S8" s="7"/>
      <c r="T8" s="7"/>
      <c r="U8" s="7"/>
      <c r="V8" s="6"/>
      <c r="W8" s="6"/>
      <c r="X8" s="6"/>
      <c r="Y8" s="6"/>
      <c r="Z8" s="6"/>
      <c r="AA8" s="6"/>
      <c r="AB8" s="6"/>
      <c r="AC8" s="6"/>
    </row>
    <row r="9" spans="1:29" x14ac:dyDescent="0.3">
      <c r="A9" s="8"/>
      <c r="B9" s="8"/>
      <c r="C9" s="8"/>
      <c r="D9" s="7"/>
      <c r="E9" s="7"/>
      <c r="F9" s="7"/>
      <c r="G9" s="7"/>
      <c r="H9" s="7"/>
      <c r="I9" s="7"/>
      <c r="J9" s="7"/>
      <c r="K9" s="7"/>
      <c r="L9" s="7"/>
      <c r="M9" s="7"/>
      <c r="N9" s="7"/>
      <c r="O9" s="7"/>
      <c r="P9" s="7"/>
      <c r="Q9" s="7"/>
      <c r="R9" s="7"/>
      <c r="S9" s="7"/>
      <c r="T9" s="7"/>
      <c r="U9" s="7"/>
      <c r="V9" s="6"/>
      <c r="W9" s="6"/>
      <c r="X9" s="6"/>
      <c r="Y9" s="6"/>
      <c r="Z9" s="6"/>
      <c r="AA9" s="6"/>
      <c r="AB9" s="6"/>
      <c r="AC9" s="6"/>
    </row>
    <row r="10" spans="1:29" x14ac:dyDescent="0.3">
      <c r="A10" s="8"/>
      <c r="B10" s="8"/>
      <c r="C10" s="8"/>
      <c r="D10" s="7"/>
      <c r="E10" s="7"/>
      <c r="F10" s="7"/>
      <c r="G10" s="7"/>
      <c r="H10" s="7"/>
      <c r="I10" s="7"/>
      <c r="J10" s="7"/>
      <c r="K10" s="7"/>
      <c r="L10" s="7"/>
      <c r="M10" s="7"/>
      <c r="N10" s="7"/>
      <c r="O10" s="7"/>
      <c r="P10" s="7"/>
      <c r="Q10" s="7"/>
      <c r="R10" s="7"/>
      <c r="S10" s="7"/>
      <c r="T10" s="7"/>
      <c r="U10" s="7"/>
      <c r="V10" s="6"/>
      <c r="W10" s="6"/>
      <c r="X10" s="6"/>
      <c r="Y10" s="6"/>
      <c r="Z10" s="6"/>
      <c r="AA10" s="6"/>
      <c r="AB10" s="6"/>
      <c r="AC10" s="6"/>
    </row>
    <row r="11" spans="1:29" x14ac:dyDescent="0.3">
      <c r="A11" s="8"/>
      <c r="B11" s="8"/>
      <c r="C11" s="8"/>
      <c r="D11" s="7"/>
      <c r="E11" s="7"/>
      <c r="F11" s="7"/>
      <c r="G11" s="7"/>
      <c r="H11" s="7"/>
      <c r="I11" s="7"/>
      <c r="J11" s="7"/>
      <c r="K11" s="7"/>
      <c r="L11" s="7"/>
      <c r="M11" s="7"/>
      <c r="N11" s="7"/>
      <c r="O11" s="7"/>
      <c r="P11" s="7"/>
      <c r="Q11" s="7"/>
      <c r="R11" s="7"/>
      <c r="S11" s="7"/>
      <c r="T11" s="7"/>
      <c r="U11" s="7"/>
      <c r="V11" s="6"/>
      <c r="W11" s="6"/>
      <c r="X11" s="6"/>
      <c r="Y11" s="6"/>
      <c r="Z11" s="6"/>
      <c r="AA11" s="6"/>
      <c r="AB11" s="6"/>
      <c r="AC11" s="6"/>
    </row>
    <row r="12" spans="1:29" x14ac:dyDescent="0.3">
      <c r="A12" s="8"/>
      <c r="B12" s="8"/>
      <c r="C12" s="8"/>
      <c r="D12" s="7"/>
      <c r="E12" s="7"/>
      <c r="F12" s="7"/>
      <c r="G12" s="7"/>
      <c r="H12" s="7"/>
      <c r="I12" s="7"/>
      <c r="J12" s="7"/>
      <c r="K12" s="7"/>
      <c r="L12" s="7"/>
      <c r="M12" s="7"/>
      <c r="N12" s="7"/>
      <c r="O12" s="7"/>
      <c r="P12" s="7"/>
      <c r="Q12" s="7"/>
      <c r="R12" s="7"/>
      <c r="S12" s="7"/>
      <c r="T12" s="7"/>
      <c r="U12" s="7"/>
      <c r="V12" s="6"/>
      <c r="W12" s="6"/>
      <c r="X12" s="6"/>
      <c r="Y12" s="6"/>
      <c r="Z12" s="6"/>
      <c r="AA12" s="6"/>
      <c r="AB12" s="6"/>
      <c r="AC12" s="6"/>
    </row>
    <row r="13" spans="1:29" x14ac:dyDescent="0.3">
      <c r="A13" s="8"/>
      <c r="B13" s="8"/>
      <c r="C13" s="8"/>
      <c r="D13" s="7"/>
      <c r="E13" s="7"/>
      <c r="F13" s="7"/>
      <c r="G13" s="7"/>
      <c r="H13" s="7"/>
      <c r="I13" s="7"/>
      <c r="J13" s="7"/>
      <c r="K13" s="7"/>
      <c r="L13" s="7"/>
      <c r="M13" s="7"/>
      <c r="N13" s="7"/>
      <c r="O13" s="7"/>
      <c r="P13" s="7"/>
      <c r="Q13" s="7"/>
      <c r="R13" s="7"/>
      <c r="S13" s="7"/>
      <c r="T13" s="7"/>
      <c r="U13" s="7"/>
      <c r="V13" s="6"/>
      <c r="W13" s="6"/>
      <c r="X13" s="6"/>
      <c r="Y13" s="6"/>
      <c r="Z13" s="6"/>
      <c r="AA13" s="6"/>
      <c r="AB13" s="6"/>
      <c r="AC13" s="6"/>
    </row>
    <row r="14" spans="1:29" x14ac:dyDescent="0.3">
      <c r="A14" s="8"/>
      <c r="B14" s="8"/>
      <c r="C14" s="8"/>
      <c r="D14" s="7"/>
      <c r="E14" s="7"/>
      <c r="F14" s="7"/>
      <c r="G14" s="7"/>
      <c r="H14" s="7"/>
      <c r="I14" s="7"/>
      <c r="J14" s="7"/>
      <c r="K14" s="7"/>
      <c r="L14" s="7"/>
      <c r="M14" s="7"/>
      <c r="N14" s="7"/>
      <c r="O14" s="7"/>
      <c r="P14" s="7"/>
      <c r="Q14" s="7"/>
      <c r="R14" s="7"/>
      <c r="S14" s="7"/>
      <c r="T14" s="7"/>
      <c r="U14" s="7"/>
      <c r="V14" s="6"/>
      <c r="W14" s="6"/>
      <c r="X14" s="6"/>
      <c r="Y14" s="6"/>
      <c r="Z14" s="6"/>
      <c r="AA14" s="6"/>
      <c r="AB14" s="6"/>
      <c r="AC14" s="6"/>
    </row>
    <row r="15" spans="1:29" x14ac:dyDescent="0.3">
      <c r="A15" s="8"/>
      <c r="B15" s="8"/>
      <c r="C15" s="8"/>
      <c r="D15" s="7"/>
      <c r="E15" s="7"/>
      <c r="F15" s="7"/>
      <c r="G15" s="7"/>
      <c r="H15" s="7"/>
      <c r="I15" s="7"/>
      <c r="J15" s="7"/>
      <c r="K15" s="7"/>
      <c r="L15" s="7"/>
      <c r="M15" s="7"/>
      <c r="N15" s="7"/>
      <c r="O15" s="7"/>
      <c r="P15" s="7"/>
      <c r="Q15" s="7"/>
      <c r="R15" s="7"/>
      <c r="S15" s="7"/>
      <c r="T15" s="7"/>
      <c r="U15" s="7"/>
      <c r="V15" s="6"/>
      <c r="W15" s="6"/>
      <c r="X15" s="6"/>
      <c r="Y15" s="6"/>
      <c r="Z15" s="6"/>
      <c r="AA15" s="6"/>
      <c r="AB15" s="6"/>
      <c r="AC15" s="6"/>
    </row>
    <row r="16" spans="1:29" x14ac:dyDescent="0.3">
      <c r="A16" s="8"/>
      <c r="B16" s="8"/>
      <c r="C16" s="8"/>
      <c r="D16" s="7"/>
      <c r="E16" s="7"/>
      <c r="F16" s="7"/>
      <c r="G16" s="7"/>
      <c r="H16" s="7"/>
      <c r="I16" s="7"/>
      <c r="J16" s="7"/>
      <c r="K16" s="7"/>
      <c r="L16" s="7"/>
      <c r="M16" s="7"/>
      <c r="N16" s="7"/>
      <c r="O16" s="7"/>
      <c r="P16" s="7"/>
      <c r="Q16" s="7"/>
      <c r="R16" s="7"/>
      <c r="S16" s="7"/>
      <c r="T16" s="7"/>
      <c r="U16" s="7"/>
      <c r="V16" s="6"/>
      <c r="W16" s="6"/>
      <c r="X16" s="6"/>
      <c r="Y16" s="6"/>
      <c r="Z16" s="6"/>
      <c r="AA16" s="6"/>
      <c r="AB16" s="6"/>
      <c r="AC16" s="6"/>
    </row>
    <row r="17" spans="1:29" x14ac:dyDescent="0.3">
      <c r="A17" s="8"/>
      <c r="B17" s="8"/>
      <c r="C17" s="8"/>
      <c r="D17" s="7"/>
      <c r="E17" s="7"/>
      <c r="F17" s="7"/>
      <c r="G17" s="7"/>
      <c r="H17" s="7"/>
      <c r="I17" s="7"/>
      <c r="J17" s="7"/>
      <c r="K17" s="7"/>
      <c r="L17" s="7"/>
      <c r="M17" s="7"/>
      <c r="N17" s="7"/>
      <c r="O17" s="7"/>
      <c r="P17" s="7"/>
      <c r="Q17" s="7"/>
      <c r="R17" s="7"/>
      <c r="S17" s="7"/>
      <c r="T17" s="7"/>
      <c r="U17" s="7"/>
      <c r="V17" s="6"/>
      <c r="W17" s="6"/>
      <c r="X17" s="6"/>
      <c r="Y17" s="6"/>
      <c r="Z17" s="6"/>
      <c r="AA17" s="6"/>
      <c r="AB17" s="6"/>
      <c r="AC17" s="6"/>
    </row>
    <row r="18" spans="1:29" x14ac:dyDescent="0.3">
      <c r="A18" s="8"/>
      <c r="B18" s="8"/>
      <c r="C18" s="8"/>
      <c r="D18" s="7"/>
      <c r="E18" s="7"/>
      <c r="F18" s="7"/>
      <c r="G18" s="7"/>
      <c r="H18" s="7"/>
      <c r="I18" s="7"/>
      <c r="J18" s="7"/>
      <c r="K18" s="7"/>
      <c r="L18" s="7"/>
      <c r="M18" s="7"/>
      <c r="N18" s="7"/>
      <c r="O18" s="7"/>
      <c r="P18" s="7"/>
      <c r="Q18" s="7"/>
      <c r="R18" s="7"/>
      <c r="S18" s="7"/>
      <c r="T18" s="7"/>
      <c r="U18" s="7"/>
      <c r="V18" s="6"/>
      <c r="W18" s="6"/>
      <c r="X18" s="6"/>
      <c r="Y18" s="6"/>
      <c r="Z18" s="6"/>
      <c r="AA18" s="6"/>
      <c r="AB18" s="6"/>
      <c r="AC18" s="6"/>
    </row>
    <row r="19" spans="1:29" x14ac:dyDescent="0.3">
      <c r="A19" s="8"/>
      <c r="B19" s="8"/>
      <c r="C19" s="8"/>
      <c r="D19" s="7"/>
      <c r="E19" s="7"/>
      <c r="F19" s="7"/>
      <c r="G19" s="7"/>
      <c r="H19" s="7"/>
      <c r="I19" s="7"/>
      <c r="J19" s="7"/>
      <c r="K19" s="7"/>
      <c r="L19" s="7"/>
      <c r="M19" s="7"/>
      <c r="N19" s="7"/>
      <c r="O19" s="7"/>
      <c r="P19" s="7"/>
      <c r="Q19" s="7"/>
      <c r="R19" s="7"/>
      <c r="S19" s="7"/>
      <c r="T19" s="7"/>
      <c r="U19" s="7"/>
      <c r="V19" s="6"/>
      <c r="W19" s="6"/>
      <c r="X19" s="6"/>
      <c r="Y19" s="6"/>
      <c r="Z19" s="6"/>
      <c r="AA19" s="6"/>
      <c r="AB19" s="6"/>
      <c r="AC19" s="6"/>
    </row>
    <row r="20" spans="1:29" x14ac:dyDescent="0.3">
      <c r="A20" s="8"/>
      <c r="B20" s="8"/>
      <c r="C20" s="8"/>
      <c r="D20" s="7"/>
      <c r="E20" s="7"/>
      <c r="F20" s="7"/>
      <c r="G20" s="7"/>
      <c r="H20" s="7"/>
      <c r="I20" s="7"/>
      <c r="J20" s="7"/>
      <c r="K20" s="7"/>
      <c r="L20" s="7"/>
      <c r="M20" s="7"/>
      <c r="N20" s="7"/>
      <c r="O20" s="7"/>
      <c r="P20" s="7"/>
      <c r="Q20" s="7"/>
      <c r="R20" s="7"/>
      <c r="S20" s="7"/>
      <c r="T20" s="7"/>
      <c r="U20" s="7"/>
      <c r="V20" s="6"/>
      <c r="W20" s="6"/>
      <c r="X20" s="6"/>
      <c r="Y20" s="6"/>
      <c r="Z20" s="6"/>
      <c r="AA20" s="6"/>
      <c r="AB20" s="6"/>
      <c r="AC20" s="6"/>
    </row>
    <row r="21" spans="1:29" x14ac:dyDescent="0.3">
      <c r="A21" s="8"/>
      <c r="B21" s="8"/>
      <c r="C21" s="8"/>
      <c r="D21" s="7"/>
      <c r="E21" s="7"/>
      <c r="F21" s="7"/>
      <c r="G21" s="7"/>
      <c r="H21" s="7"/>
      <c r="I21" s="7"/>
      <c r="J21" s="7"/>
      <c r="K21" s="7"/>
      <c r="L21" s="7"/>
      <c r="M21" s="7"/>
      <c r="N21" s="7"/>
      <c r="O21" s="7"/>
      <c r="P21" s="7"/>
      <c r="Q21" s="7"/>
      <c r="R21" s="7"/>
      <c r="S21" s="7"/>
      <c r="T21" s="7"/>
      <c r="U21" s="7"/>
      <c r="V21" s="6"/>
      <c r="W21" s="6"/>
      <c r="X21" s="6"/>
      <c r="Y21" s="6"/>
      <c r="Z21" s="6"/>
      <c r="AA21" s="6"/>
      <c r="AB21" s="6"/>
      <c r="AC21" s="6"/>
    </row>
    <row r="22" spans="1:29" x14ac:dyDescent="0.3">
      <c r="A22" s="8"/>
      <c r="B22" s="8"/>
      <c r="C22" s="8"/>
      <c r="D22" s="7"/>
      <c r="E22" s="7"/>
      <c r="F22" s="7"/>
      <c r="G22" s="7"/>
      <c r="H22" s="7"/>
      <c r="I22" s="7"/>
      <c r="J22" s="7"/>
      <c r="K22" s="7"/>
      <c r="L22" s="7"/>
      <c r="M22" s="7"/>
      <c r="N22" s="7"/>
      <c r="O22" s="7"/>
      <c r="P22" s="7"/>
      <c r="Q22" s="7"/>
      <c r="R22" s="7"/>
      <c r="S22" s="7"/>
      <c r="T22" s="7"/>
      <c r="U22" s="7"/>
      <c r="V22" s="6"/>
      <c r="W22" s="6"/>
      <c r="X22" s="6"/>
      <c r="Y22" s="6"/>
      <c r="Z22" s="6"/>
      <c r="AA22" s="6"/>
      <c r="AB22" s="6"/>
      <c r="AC22" s="6"/>
    </row>
    <row r="23" spans="1:29" x14ac:dyDescent="0.3">
      <c r="A23" s="8"/>
      <c r="B23" s="8"/>
      <c r="C23" s="8"/>
      <c r="D23" s="7"/>
      <c r="E23" s="7"/>
      <c r="F23" s="7"/>
      <c r="G23" s="7"/>
      <c r="H23" s="7"/>
      <c r="I23" s="7"/>
      <c r="J23" s="7"/>
      <c r="K23" s="7"/>
      <c r="L23" s="7"/>
      <c r="M23" s="7"/>
      <c r="N23" s="7"/>
      <c r="O23" s="7"/>
      <c r="P23" s="7"/>
      <c r="Q23" s="7"/>
      <c r="R23" s="7"/>
      <c r="S23" s="7"/>
      <c r="T23" s="7"/>
      <c r="U23" s="7"/>
      <c r="V23" s="6"/>
      <c r="W23" s="6"/>
      <c r="X23" s="6"/>
      <c r="Y23" s="6"/>
      <c r="Z23" s="6"/>
      <c r="AA23" s="6"/>
      <c r="AB23" s="6"/>
      <c r="AC23" s="6"/>
    </row>
    <row r="24" spans="1:29" x14ac:dyDescent="0.3">
      <c r="A24" s="8"/>
      <c r="B24" s="8"/>
      <c r="C24" s="8"/>
      <c r="D24" s="7"/>
      <c r="E24" s="7"/>
      <c r="F24" s="7"/>
      <c r="G24" s="7"/>
      <c r="H24" s="7"/>
      <c r="I24" s="7"/>
      <c r="J24" s="7"/>
      <c r="K24" s="7"/>
      <c r="L24" s="7"/>
      <c r="M24" s="7"/>
      <c r="N24" s="7"/>
      <c r="O24" s="7"/>
      <c r="P24" s="7"/>
      <c r="Q24" s="7"/>
      <c r="R24" s="7"/>
      <c r="S24" s="7"/>
      <c r="T24" s="7"/>
      <c r="U24" s="7"/>
      <c r="V24" s="6"/>
      <c r="W24" s="6"/>
      <c r="X24" s="6"/>
      <c r="Y24" s="6"/>
      <c r="Z24" s="6"/>
      <c r="AA24" s="6"/>
      <c r="AB24" s="6"/>
      <c r="AC24" s="6"/>
    </row>
    <row r="25" spans="1:29" x14ac:dyDescent="0.3">
      <c r="A25" s="8"/>
      <c r="B25" s="9"/>
      <c r="C25" s="9"/>
      <c r="D25" s="6"/>
      <c r="E25" s="6"/>
      <c r="F25" s="6"/>
      <c r="G25" s="6"/>
      <c r="H25" s="6"/>
      <c r="I25" s="6"/>
      <c r="J25" s="6"/>
      <c r="K25" s="6"/>
      <c r="L25" s="6"/>
      <c r="M25" s="6"/>
      <c r="N25" s="6"/>
      <c r="O25" s="6"/>
      <c r="P25" s="6"/>
      <c r="Q25" s="6"/>
      <c r="R25" s="6"/>
      <c r="S25" s="6"/>
      <c r="T25" s="6"/>
      <c r="U25" s="6"/>
      <c r="V25" s="6"/>
      <c r="W25" s="6"/>
      <c r="X25" s="6"/>
      <c r="Y25" s="6"/>
      <c r="Z25" s="6"/>
      <c r="AA25" s="6"/>
      <c r="AB25" s="6"/>
      <c r="AC25" s="6"/>
    </row>
    <row r="26" spans="1:29" x14ac:dyDescent="0.3">
      <c r="A26" s="8"/>
      <c r="B26" s="9"/>
      <c r="C26" s="9"/>
      <c r="D26" s="6"/>
      <c r="E26" s="6"/>
      <c r="F26" s="6"/>
      <c r="G26" s="6"/>
      <c r="H26" s="6"/>
      <c r="I26" s="6"/>
      <c r="J26" s="6"/>
      <c r="K26" s="6"/>
      <c r="L26" s="6"/>
      <c r="M26" s="6"/>
      <c r="N26" s="6"/>
      <c r="O26" s="6"/>
      <c r="P26" s="6"/>
      <c r="Q26" s="6"/>
      <c r="R26" s="6"/>
      <c r="S26" s="6"/>
      <c r="T26" s="6"/>
      <c r="U26" s="6"/>
      <c r="V26" s="6"/>
      <c r="W26" s="6"/>
      <c r="X26" s="6"/>
      <c r="Y26" s="6"/>
      <c r="Z26" s="6"/>
      <c r="AA26" s="6"/>
      <c r="AB26" s="6"/>
      <c r="AC26" s="6"/>
    </row>
    <row r="27" spans="1:29" x14ac:dyDescent="0.3">
      <c r="A27" s="8"/>
      <c r="B27" s="9"/>
      <c r="C27" s="9"/>
      <c r="D27" s="6"/>
      <c r="E27" s="6"/>
      <c r="F27" s="6"/>
      <c r="G27" s="6"/>
      <c r="H27" s="6"/>
      <c r="I27" s="6"/>
      <c r="J27" s="6"/>
      <c r="K27" s="6"/>
      <c r="L27" s="6"/>
      <c r="M27" s="6"/>
      <c r="N27" s="6"/>
      <c r="O27" s="6"/>
      <c r="P27" s="6"/>
      <c r="Q27" s="6"/>
      <c r="R27" s="6"/>
      <c r="S27" s="6"/>
      <c r="T27" s="6"/>
      <c r="U27" s="6"/>
      <c r="V27" s="6"/>
      <c r="W27" s="6"/>
      <c r="X27" s="6"/>
      <c r="Y27" s="6"/>
      <c r="Z27" s="6"/>
      <c r="AA27" s="6"/>
      <c r="AB27" s="6"/>
      <c r="AC27" s="6"/>
    </row>
    <row r="28" spans="1:29" x14ac:dyDescent="0.3">
      <c r="A28" s="8"/>
      <c r="B28" s="9"/>
      <c r="C28" s="9"/>
      <c r="D28" s="6"/>
      <c r="E28" s="6"/>
      <c r="F28" s="6"/>
      <c r="G28" s="6"/>
      <c r="H28" s="6"/>
      <c r="I28" s="6"/>
      <c r="J28" s="6"/>
      <c r="K28" s="6"/>
      <c r="L28" s="6"/>
      <c r="M28" s="6"/>
      <c r="N28" s="6"/>
      <c r="O28" s="6"/>
      <c r="P28" s="6"/>
      <c r="Q28" s="6"/>
      <c r="R28" s="6"/>
      <c r="S28" s="6"/>
      <c r="T28" s="6"/>
      <c r="U28" s="6"/>
      <c r="V28" s="6"/>
      <c r="W28" s="6"/>
      <c r="X28" s="6"/>
      <c r="Y28" s="6"/>
      <c r="Z28" s="6"/>
      <c r="AA28" s="6"/>
      <c r="AB28" s="6"/>
      <c r="AC28" s="6"/>
    </row>
    <row r="29" spans="1:29" x14ac:dyDescent="0.3">
      <c r="A29" s="8"/>
      <c r="B29" s="9"/>
      <c r="C29" s="9"/>
      <c r="D29" s="6"/>
      <c r="E29" s="6"/>
      <c r="F29" s="6"/>
      <c r="G29" s="6"/>
      <c r="H29" s="6"/>
      <c r="I29" s="6"/>
      <c r="J29" s="6"/>
      <c r="K29" s="6"/>
      <c r="L29" s="6"/>
      <c r="M29" s="6"/>
      <c r="N29" s="6"/>
      <c r="O29" s="6"/>
      <c r="P29" s="6"/>
      <c r="Q29" s="6"/>
      <c r="R29" s="6"/>
      <c r="S29" s="6"/>
      <c r="T29" s="6"/>
      <c r="U29" s="6"/>
      <c r="V29" s="6"/>
      <c r="W29" s="6"/>
      <c r="X29" s="6"/>
      <c r="Y29" s="6"/>
      <c r="Z29" s="6"/>
      <c r="AA29" s="6"/>
      <c r="AB29" s="6"/>
      <c r="AC29" s="6"/>
    </row>
    <row r="30" spans="1:29" x14ac:dyDescent="0.3">
      <c r="A30" s="8"/>
      <c r="B30" s="9"/>
      <c r="C30" s="9"/>
      <c r="D30" s="6"/>
      <c r="E30" s="6"/>
      <c r="F30" s="6"/>
      <c r="G30" s="6"/>
      <c r="H30" s="6"/>
      <c r="I30" s="6"/>
      <c r="J30" s="6"/>
      <c r="K30" s="6"/>
      <c r="L30" s="6"/>
      <c r="M30" s="6"/>
      <c r="N30" s="6"/>
      <c r="O30" s="6"/>
      <c r="P30" s="6"/>
      <c r="Q30" s="6"/>
      <c r="R30" s="6"/>
      <c r="S30" s="6"/>
      <c r="T30" s="6"/>
      <c r="U30" s="6"/>
      <c r="V30" s="6"/>
      <c r="W30" s="6"/>
      <c r="X30" s="6"/>
      <c r="Y30" s="6"/>
      <c r="Z30" s="6"/>
      <c r="AA30" s="6"/>
      <c r="AB30" s="6"/>
      <c r="AC30" s="6"/>
    </row>
    <row r="31" spans="1:29" x14ac:dyDescent="0.3">
      <c r="A31" s="8"/>
      <c r="B31" s="9"/>
      <c r="C31" s="9"/>
      <c r="D31" s="6"/>
      <c r="E31" s="6"/>
      <c r="F31" s="6"/>
      <c r="G31" s="6"/>
      <c r="H31" s="6"/>
      <c r="I31" s="6"/>
      <c r="J31" s="6"/>
      <c r="K31" s="6"/>
      <c r="L31" s="6"/>
      <c r="M31" s="6"/>
      <c r="N31" s="6"/>
      <c r="O31" s="6"/>
      <c r="P31" s="6"/>
      <c r="Q31" s="6"/>
      <c r="R31" s="6"/>
      <c r="S31" s="6"/>
      <c r="T31" s="6"/>
      <c r="U31" s="6"/>
      <c r="V31" s="6"/>
      <c r="W31" s="6"/>
      <c r="X31" s="6"/>
      <c r="Y31" s="6"/>
      <c r="Z31" s="6"/>
      <c r="AA31" s="6"/>
      <c r="AB31" s="6"/>
      <c r="AC31" s="6"/>
    </row>
    <row r="32" spans="1:29" x14ac:dyDescent="0.3">
      <c r="A32" s="8"/>
      <c r="B32" s="9"/>
      <c r="C32" s="9"/>
      <c r="D32" s="6"/>
      <c r="E32" s="6"/>
      <c r="F32" s="6"/>
      <c r="G32" s="6"/>
      <c r="H32" s="6"/>
      <c r="I32" s="6"/>
      <c r="J32" s="6"/>
      <c r="K32" s="6"/>
      <c r="L32" s="6"/>
      <c r="M32" s="6"/>
      <c r="N32" s="6"/>
      <c r="O32" s="6"/>
      <c r="P32" s="6"/>
      <c r="Q32" s="6"/>
      <c r="R32" s="6"/>
      <c r="S32" s="6"/>
      <c r="T32" s="6"/>
      <c r="U32" s="6"/>
      <c r="V32" s="6"/>
      <c r="W32" s="6"/>
      <c r="X32" s="6"/>
      <c r="Y32" s="6"/>
      <c r="Z32" s="6"/>
      <c r="AA32" s="6"/>
      <c r="AB32" s="6"/>
      <c r="AC32" s="6"/>
    </row>
    <row r="33" spans="1:29" x14ac:dyDescent="0.3">
      <c r="A33" s="8"/>
      <c r="B33" s="9"/>
      <c r="C33" s="9"/>
      <c r="D33" s="6"/>
      <c r="E33" s="6"/>
      <c r="F33" s="6"/>
      <c r="G33" s="6"/>
      <c r="H33" s="6"/>
      <c r="I33" s="6"/>
      <c r="J33" s="6"/>
      <c r="K33" s="6"/>
      <c r="L33" s="6"/>
      <c r="M33" s="6"/>
      <c r="N33" s="6"/>
      <c r="O33" s="6"/>
      <c r="P33" s="6"/>
      <c r="Q33" s="6"/>
      <c r="R33" s="6"/>
      <c r="S33" s="6"/>
      <c r="T33" s="6"/>
      <c r="U33" s="6"/>
      <c r="V33" s="6"/>
      <c r="W33" s="6"/>
      <c r="X33" s="6"/>
      <c r="Y33" s="6"/>
      <c r="Z33" s="6"/>
      <c r="AA33" s="6"/>
      <c r="AB33" s="6"/>
      <c r="AC33" s="6"/>
    </row>
    <row r="34" spans="1:29" x14ac:dyDescent="0.3">
      <c r="A34" s="9"/>
      <c r="B34" s="9"/>
      <c r="C34" s="9"/>
      <c r="D34" s="6"/>
      <c r="E34" s="6"/>
      <c r="F34" s="6"/>
      <c r="G34" s="6"/>
      <c r="H34" s="6"/>
      <c r="I34" s="6"/>
      <c r="J34" s="6"/>
      <c r="K34" s="6"/>
      <c r="L34" s="6"/>
      <c r="M34" s="6"/>
      <c r="N34" s="6"/>
      <c r="O34" s="6"/>
      <c r="P34" s="6"/>
      <c r="Q34" s="6"/>
      <c r="R34" s="6"/>
      <c r="S34" s="6"/>
      <c r="T34" s="6"/>
      <c r="U34" s="6"/>
      <c r="V34" s="6"/>
      <c r="W34" s="6"/>
      <c r="X34" s="6"/>
      <c r="Y34" s="6"/>
      <c r="Z34" s="6"/>
      <c r="AA34" s="6"/>
      <c r="AB34" s="6"/>
      <c r="AC34" s="6"/>
    </row>
    <row r="35" spans="1:29"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row>
  </sheetData>
  <mergeCells count="1">
    <mergeCell ref="A1:AC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68B6A-6863-4581-BD55-23216091D6E2}">
  <dimension ref="A3:B16"/>
  <sheetViews>
    <sheetView workbookViewId="0">
      <selection activeCell="J23" sqref="J23"/>
    </sheetView>
  </sheetViews>
  <sheetFormatPr defaultRowHeight="14.4" x14ac:dyDescent="0.3"/>
  <cols>
    <col min="1" max="1" width="12.5546875" bestFit="1" customWidth="1"/>
    <col min="2" max="2" width="21" bestFit="1" customWidth="1"/>
  </cols>
  <sheetData>
    <row r="3" spans="1:2" x14ac:dyDescent="0.3">
      <c r="A3" s="4" t="s">
        <v>1091</v>
      </c>
      <c r="B3" t="s">
        <v>1105</v>
      </c>
    </row>
    <row r="4" spans="1:2" x14ac:dyDescent="0.3">
      <c r="A4" s="5" t="s">
        <v>1095</v>
      </c>
      <c r="B4" s="15">
        <v>45</v>
      </c>
    </row>
    <row r="5" spans="1:2" x14ac:dyDescent="0.3">
      <c r="A5" s="5" t="s">
        <v>1096</v>
      </c>
      <c r="B5" s="15">
        <v>45</v>
      </c>
    </row>
    <row r="6" spans="1:2" x14ac:dyDescent="0.3">
      <c r="A6" s="5" t="s">
        <v>1097</v>
      </c>
      <c r="B6" s="15">
        <v>40</v>
      </c>
    </row>
    <row r="7" spans="1:2" x14ac:dyDescent="0.3">
      <c r="A7" s="5" t="s">
        <v>1098</v>
      </c>
      <c r="B7" s="15">
        <v>45</v>
      </c>
    </row>
    <row r="8" spans="1:2" x14ac:dyDescent="0.3">
      <c r="A8" s="5" t="s">
        <v>1099</v>
      </c>
      <c r="B8" s="15">
        <v>42</v>
      </c>
    </row>
    <row r="9" spans="1:2" x14ac:dyDescent="0.3">
      <c r="A9" s="5" t="s">
        <v>1107</v>
      </c>
      <c r="B9" s="15">
        <v>35</v>
      </c>
    </row>
    <row r="10" spans="1:2" x14ac:dyDescent="0.3">
      <c r="A10" s="5" t="s">
        <v>1108</v>
      </c>
      <c r="B10" s="15">
        <v>34</v>
      </c>
    </row>
    <row r="11" spans="1:2" x14ac:dyDescent="0.3">
      <c r="A11" s="5" t="s">
        <v>1100</v>
      </c>
      <c r="B11" s="15">
        <v>39</v>
      </c>
    </row>
    <row r="12" spans="1:2" x14ac:dyDescent="0.3">
      <c r="A12" s="5" t="s">
        <v>1101</v>
      </c>
      <c r="B12" s="15">
        <v>40</v>
      </c>
    </row>
    <row r="13" spans="1:2" x14ac:dyDescent="0.3">
      <c r="A13" s="5" t="s">
        <v>1102</v>
      </c>
      <c r="B13" s="15">
        <v>41</v>
      </c>
    </row>
    <row r="14" spans="1:2" x14ac:dyDescent="0.3">
      <c r="A14" s="5" t="s">
        <v>1103</v>
      </c>
      <c r="B14" s="15">
        <v>55</v>
      </c>
    </row>
    <row r="15" spans="1:2" x14ac:dyDescent="0.3">
      <c r="A15" s="5" t="s">
        <v>1109</v>
      </c>
      <c r="B15" s="15">
        <v>39</v>
      </c>
    </row>
    <row r="16" spans="1:2" x14ac:dyDescent="0.3">
      <c r="A16" s="5" t="s">
        <v>1090</v>
      </c>
      <c r="B16" s="15">
        <v>500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EB03E-344E-4148-901A-D7EC3BE98AAF}">
  <dimension ref="A3:B29"/>
  <sheetViews>
    <sheetView topLeftCell="A4" workbookViewId="0">
      <selection activeCell="B12" sqref="B12"/>
    </sheetView>
  </sheetViews>
  <sheetFormatPr defaultRowHeight="14.4" x14ac:dyDescent="0.3"/>
  <cols>
    <col min="1" max="1" width="18.33203125" bestFit="1" customWidth="1"/>
    <col min="2" max="2" width="21" bestFit="1" customWidth="1"/>
  </cols>
  <sheetData>
    <row r="3" spans="1:2" x14ac:dyDescent="0.3">
      <c r="A3" s="4" t="s">
        <v>1091</v>
      </c>
      <c r="B3" t="s">
        <v>1105</v>
      </c>
    </row>
    <row r="4" spans="1:2" x14ac:dyDescent="0.3">
      <c r="A4" s="5" t="s">
        <v>109</v>
      </c>
      <c r="B4" s="15">
        <v>28</v>
      </c>
    </row>
    <row r="5" spans="1:2" x14ac:dyDescent="0.3">
      <c r="A5" s="5" t="s">
        <v>19</v>
      </c>
      <c r="B5" s="15">
        <v>28</v>
      </c>
    </row>
    <row r="6" spans="1:2" x14ac:dyDescent="0.3">
      <c r="A6" s="5" t="s">
        <v>36</v>
      </c>
      <c r="B6" s="15">
        <v>26</v>
      </c>
    </row>
    <row r="7" spans="1:2" x14ac:dyDescent="0.3">
      <c r="A7" s="5" t="s">
        <v>83</v>
      </c>
      <c r="B7" s="15">
        <v>23</v>
      </c>
    </row>
    <row r="8" spans="1:2" x14ac:dyDescent="0.3">
      <c r="A8" s="5" t="s">
        <v>146</v>
      </c>
      <c r="B8" s="15">
        <v>23</v>
      </c>
    </row>
    <row r="9" spans="1:2" x14ac:dyDescent="0.3">
      <c r="A9" s="5" t="s">
        <v>73</v>
      </c>
      <c r="B9" s="15">
        <v>22</v>
      </c>
    </row>
    <row r="10" spans="1:2" x14ac:dyDescent="0.3">
      <c r="A10" s="5" t="s">
        <v>166</v>
      </c>
      <c r="B10" s="15">
        <v>22</v>
      </c>
    </row>
    <row r="11" spans="1:2" x14ac:dyDescent="0.3">
      <c r="A11" s="5" t="s">
        <v>192</v>
      </c>
      <c r="B11" s="15">
        <v>22</v>
      </c>
    </row>
    <row r="12" spans="1:2" x14ac:dyDescent="0.3">
      <c r="A12" s="5" t="s">
        <v>177</v>
      </c>
      <c r="B12" s="15">
        <v>22</v>
      </c>
    </row>
    <row r="13" spans="1:2" x14ac:dyDescent="0.3">
      <c r="A13" s="5" t="s">
        <v>29</v>
      </c>
      <c r="B13" s="15">
        <v>22</v>
      </c>
    </row>
    <row r="14" spans="1:2" x14ac:dyDescent="0.3">
      <c r="A14" s="5" t="s">
        <v>60</v>
      </c>
      <c r="B14" s="15">
        <v>21</v>
      </c>
    </row>
    <row r="15" spans="1:2" x14ac:dyDescent="0.3">
      <c r="A15" s="5" t="s">
        <v>42</v>
      </c>
      <c r="B15" s="15">
        <v>20</v>
      </c>
    </row>
    <row r="16" spans="1:2" x14ac:dyDescent="0.3">
      <c r="A16" s="5" t="s">
        <v>65</v>
      </c>
      <c r="B16" s="15">
        <v>20</v>
      </c>
    </row>
    <row r="17" spans="1:2" x14ac:dyDescent="0.3">
      <c r="A17" s="5" t="s">
        <v>46</v>
      </c>
      <c r="B17" s="15">
        <v>20</v>
      </c>
    </row>
    <row r="18" spans="1:2" x14ac:dyDescent="0.3">
      <c r="A18" s="5" t="s">
        <v>156</v>
      </c>
      <c r="B18" s="15">
        <v>19</v>
      </c>
    </row>
    <row r="19" spans="1:2" x14ac:dyDescent="0.3">
      <c r="A19" s="5" t="s">
        <v>150</v>
      </c>
      <c r="B19" s="15">
        <v>19</v>
      </c>
    </row>
    <row r="20" spans="1:2" x14ac:dyDescent="0.3">
      <c r="A20" s="5" t="s">
        <v>130</v>
      </c>
      <c r="B20" s="15">
        <v>19</v>
      </c>
    </row>
    <row r="21" spans="1:2" x14ac:dyDescent="0.3">
      <c r="A21" s="5" t="s">
        <v>162</v>
      </c>
      <c r="B21" s="15">
        <v>17</v>
      </c>
    </row>
    <row r="22" spans="1:2" x14ac:dyDescent="0.3">
      <c r="A22" s="5" t="s">
        <v>79</v>
      </c>
      <c r="B22" s="15">
        <v>17</v>
      </c>
    </row>
    <row r="23" spans="1:2" x14ac:dyDescent="0.3">
      <c r="A23" s="5" t="s">
        <v>92</v>
      </c>
      <c r="B23" s="15">
        <v>17</v>
      </c>
    </row>
    <row r="24" spans="1:2" x14ac:dyDescent="0.3">
      <c r="A24" s="5" t="s">
        <v>105</v>
      </c>
      <c r="B24" s="15">
        <v>16</v>
      </c>
    </row>
    <row r="25" spans="1:2" x14ac:dyDescent="0.3">
      <c r="A25" s="5" t="s">
        <v>87</v>
      </c>
      <c r="B25" s="15">
        <v>16</v>
      </c>
    </row>
    <row r="26" spans="1:2" x14ac:dyDescent="0.3">
      <c r="A26" s="5" t="s">
        <v>56</v>
      </c>
      <c r="B26" s="15">
        <v>15</v>
      </c>
    </row>
    <row r="27" spans="1:2" x14ac:dyDescent="0.3">
      <c r="A27" s="5" t="s">
        <v>216</v>
      </c>
      <c r="B27" s="15">
        <v>14</v>
      </c>
    </row>
    <row r="28" spans="1:2" x14ac:dyDescent="0.3">
      <c r="A28" s="5" t="s">
        <v>136</v>
      </c>
      <c r="B28" s="15">
        <v>12</v>
      </c>
    </row>
    <row r="29" spans="1:2" x14ac:dyDescent="0.3">
      <c r="A29" s="5" t="s">
        <v>1090</v>
      </c>
      <c r="B29" s="15">
        <v>500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CE695-337C-469F-9E6B-161428C1FF19}">
  <dimension ref="A3:B8"/>
  <sheetViews>
    <sheetView workbookViewId="0">
      <selection activeCell="J24" sqref="J24"/>
    </sheetView>
  </sheetViews>
  <sheetFormatPr defaultRowHeight="14.4" x14ac:dyDescent="0.3"/>
  <cols>
    <col min="1" max="1" width="13.5546875" bestFit="1" customWidth="1"/>
    <col min="2" max="2" width="21" bestFit="1" customWidth="1"/>
  </cols>
  <sheetData>
    <row r="3" spans="1:2" x14ac:dyDescent="0.3">
      <c r="A3" s="4" t="s">
        <v>1091</v>
      </c>
      <c r="B3" t="s">
        <v>1105</v>
      </c>
    </row>
    <row r="4" spans="1:2" x14ac:dyDescent="0.3">
      <c r="A4" s="5" t="s">
        <v>21</v>
      </c>
      <c r="B4" s="15">
        <v>108</v>
      </c>
    </row>
    <row r="5" spans="1:2" x14ac:dyDescent="0.3">
      <c r="A5" s="5" t="s">
        <v>47</v>
      </c>
      <c r="B5" s="15">
        <v>140</v>
      </c>
    </row>
    <row r="6" spans="1:2" x14ac:dyDescent="0.3">
      <c r="A6" s="5" t="s">
        <v>52</v>
      </c>
      <c r="B6" s="15">
        <v>136</v>
      </c>
    </row>
    <row r="7" spans="1:2" x14ac:dyDescent="0.3">
      <c r="A7" s="5" t="s">
        <v>37</v>
      </c>
      <c r="B7" s="15">
        <v>116</v>
      </c>
    </row>
    <row r="8" spans="1:2" x14ac:dyDescent="0.3">
      <c r="A8" s="5" t="s">
        <v>1090</v>
      </c>
      <c r="B8" s="15">
        <v>500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036A0-DFC5-47BD-9A69-87274A25EC54}">
  <dimension ref="A3:D10"/>
  <sheetViews>
    <sheetView topLeftCell="A4" workbookViewId="0">
      <selection activeCell="D7" sqref="D7"/>
    </sheetView>
  </sheetViews>
  <sheetFormatPr defaultRowHeight="14.4" x14ac:dyDescent="0.3"/>
  <cols>
    <col min="1" max="1" width="21" bestFit="1" customWidth="1"/>
    <col min="2" max="2" width="15.5546875" bestFit="1" customWidth="1"/>
    <col min="3" max="3" width="3.77734375" bestFit="1" customWidth="1"/>
    <col min="4" max="4" width="10.77734375" bestFit="1" customWidth="1"/>
  </cols>
  <sheetData>
    <row r="3" spans="1:4" x14ac:dyDescent="0.3">
      <c r="A3" s="4" t="s">
        <v>1105</v>
      </c>
      <c r="B3" s="4" t="s">
        <v>1089</v>
      </c>
    </row>
    <row r="4" spans="1:4" x14ac:dyDescent="0.3">
      <c r="A4" s="4" t="s">
        <v>1091</v>
      </c>
      <c r="B4" t="s">
        <v>24</v>
      </c>
      <c r="C4" t="s">
        <v>178</v>
      </c>
      <c r="D4" t="s">
        <v>1090</v>
      </c>
    </row>
    <row r="5" spans="1:4" x14ac:dyDescent="0.3">
      <c r="A5" s="5" t="s">
        <v>17</v>
      </c>
      <c r="B5" s="15">
        <v>94</v>
      </c>
      <c r="C5" s="15">
        <v>4</v>
      </c>
      <c r="D5" s="15">
        <v>98</v>
      </c>
    </row>
    <row r="6" spans="1:4" x14ac:dyDescent="0.3">
      <c r="A6" s="5" t="s">
        <v>27</v>
      </c>
      <c r="B6" s="15">
        <v>93</v>
      </c>
      <c r="C6" s="15">
        <v>1</v>
      </c>
      <c r="D6" s="15">
        <v>94</v>
      </c>
    </row>
    <row r="7" spans="1:4" x14ac:dyDescent="0.3">
      <c r="A7" s="5" t="s">
        <v>63</v>
      </c>
      <c r="B7" s="15">
        <v>107</v>
      </c>
      <c r="C7" s="15">
        <v>3</v>
      </c>
      <c r="D7" s="15">
        <v>110</v>
      </c>
    </row>
    <row r="8" spans="1:4" x14ac:dyDescent="0.3">
      <c r="A8" s="5" t="s">
        <v>90</v>
      </c>
      <c r="B8" s="15">
        <v>96</v>
      </c>
      <c r="C8" s="15">
        <v>1</v>
      </c>
      <c r="D8" s="15">
        <v>97</v>
      </c>
    </row>
    <row r="9" spans="1:4" x14ac:dyDescent="0.3">
      <c r="A9" s="5" t="s">
        <v>34</v>
      </c>
      <c r="B9" s="15">
        <v>97</v>
      </c>
      <c r="C9" s="15">
        <v>4</v>
      </c>
      <c r="D9" s="15">
        <v>101</v>
      </c>
    </row>
    <row r="10" spans="1:4" x14ac:dyDescent="0.3">
      <c r="A10" s="5" t="s">
        <v>1090</v>
      </c>
      <c r="B10" s="15">
        <v>487</v>
      </c>
      <c r="C10" s="15">
        <v>13</v>
      </c>
      <c r="D10" s="15">
        <v>500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AE808-FE45-43F0-9459-389DA31AE1D6}">
  <dimension ref="A3:B9"/>
  <sheetViews>
    <sheetView workbookViewId="0">
      <selection activeCell="B7" sqref="B7"/>
    </sheetView>
  </sheetViews>
  <sheetFormatPr defaultRowHeight="14.4" x14ac:dyDescent="0.3"/>
  <cols>
    <col min="1" max="1" width="12.5546875" bestFit="1" customWidth="1"/>
    <col min="2" max="2" width="21" bestFit="1" customWidth="1"/>
  </cols>
  <sheetData>
    <row r="3" spans="1:2" x14ac:dyDescent="0.3">
      <c r="A3" s="4" t="s">
        <v>1091</v>
      </c>
      <c r="B3" t="s">
        <v>1105</v>
      </c>
    </row>
    <row r="4" spans="1:2" x14ac:dyDescent="0.3">
      <c r="A4" s="5" t="s">
        <v>97</v>
      </c>
      <c r="B4" s="15">
        <v>98</v>
      </c>
    </row>
    <row r="5" spans="1:2" x14ac:dyDescent="0.3">
      <c r="A5" s="5" t="s">
        <v>31</v>
      </c>
      <c r="B5" s="15">
        <v>100</v>
      </c>
    </row>
    <row r="6" spans="1:2" x14ac:dyDescent="0.3">
      <c r="A6" s="5" t="s">
        <v>48</v>
      </c>
      <c r="B6" s="15">
        <v>128</v>
      </c>
    </row>
    <row r="7" spans="1:2" x14ac:dyDescent="0.3">
      <c r="A7" s="5" t="s">
        <v>38</v>
      </c>
      <c r="B7" s="15">
        <v>80</v>
      </c>
    </row>
    <row r="8" spans="1:2" x14ac:dyDescent="0.3">
      <c r="A8" s="5" t="s">
        <v>22</v>
      </c>
      <c r="B8" s="15">
        <v>94</v>
      </c>
    </row>
    <row r="9" spans="1:2" x14ac:dyDescent="0.3">
      <c r="A9" s="5" t="s">
        <v>1090</v>
      </c>
      <c r="B9" s="15">
        <v>500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FB421-7CBD-46D7-94B9-372907D5DD08}">
  <dimension ref="A3:B8"/>
  <sheetViews>
    <sheetView workbookViewId="0">
      <selection activeCell="A3" sqref="A3"/>
    </sheetView>
  </sheetViews>
  <sheetFormatPr defaultRowHeight="14.4" x14ac:dyDescent="0.3"/>
  <cols>
    <col min="1" max="1" width="12.5546875" bestFit="1" customWidth="1"/>
    <col min="2" max="2" width="21" bestFit="1" customWidth="1"/>
  </cols>
  <sheetData>
    <row r="3" spans="1:2" x14ac:dyDescent="0.3">
      <c r="A3" s="4" t="s">
        <v>1091</v>
      </c>
      <c r="B3" t="s">
        <v>1105</v>
      </c>
    </row>
    <row r="4" spans="1:2" x14ac:dyDescent="0.3">
      <c r="A4" s="5" t="s">
        <v>23</v>
      </c>
      <c r="B4" s="15">
        <v>434</v>
      </c>
    </row>
    <row r="5" spans="1:2" x14ac:dyDescent="0.3">
      <c r="A5" s="5" t="s">
        <v>112</v>
      </c>
      <c r="B5" s="15">
        <v>26</v>
      </c>
    </row>
    <row r="6" spans="1:2" x14ac:dyDescent="0.3">
      <c r="A6" s="5" t="s">
        <v>49</v>
      </c>
      <c r="B6" s="15">
        <v>19</v>
      </c>
    </row>
    <row r="7" spans="1:2" x14ac:dyDescent="0.3">
      <c r="A7" s="5" t="s">
        <v>167</v>
      </c>
      <c r="B7" s="15">
        <v>21</v>
      </c>
    </row>
    <row r="8" spans="1:2" x14ac:dyDescent="0.3">
      <c r="A8" s="5" t="s">
        <v>1090</v>
      </c>
      <c r="B8" s="15">
        <v>500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ADDA4-1C5F-48AE-A0C1-8B3AFE63C856}">
  <dimension ref="A1:B29"/>
  <sheetViews>
    <sheetView workbookViewId="0">
      <selection activeCell="E3" sqref="E3"/>
    </sheetView>
  </sheetViews>
  <sheetFormatPr defaultRowHeight="14.4" x14ac:dyDescent="0.3"/>
  <cols>
    <col min="1" max="1" width="12.5546875" bestFit="1" customWidth="1"/>
    <col min="2" max="2" width="21" bestFit="1" customWidth="1"/>
    <col min="3" max="3" width="4.44140625" bestFit="1" customWidth="1"/>
    <col min="4" max="4" width="5.88671875" bestFit="1" customWidth="1"/>
    <col min="5" max="5" width="6" bestFit="1" customWidth="1"/>
    <col min="6" max="6" width="5.21875" bestFit="1" customWidth="1"/>
    <col min="7" max="7" width="10.77734375" bestFit="1" customWidth="1"/>
    <col min="8" max="98" width="37" bestFit="1" customWidth="1"/>
    <col min="99" max="99" width="11.6640625" bestFit="1" customWidth="1"/>
    <col min="100" max="193" width="37" bestFit="1" customWidth="1"/>
    <col min="194" max="194" width="9.109375" bestFit="1" customWidth="1"/>
    <col min="195" max="304" width="37" bestFit="1" customWidth="1"/>
    <col min="305" max="305" width="10.5546875" bestFit="1" customWidth="1"/>
    <col min="306" max="402" width="37.33203125" bestFit="1" customWidth="1"/>
    <col min="403" max="403" width="10.6640625" bestFit="1" customWidth="1"/>
    <col min="404" max="504" width="37.109375" bestFit="1" customWidth="1"/>
    <col min="505" max="505" width="9.88671875" bestFit="1" customWidth="1"/>
    <col min="506" max="506" width="10.77734375" bestFit="1" customWidth="1"/>
  </cols>
  <sheetData>
    <row r="1" spans="1:2" x14ac:dyDescent="0.3">
      <c r="A1" s="4" t="s">
        <v>14</v>
      </c>
      <c r="B1" t="s">
        <v>1093</v>
      </c>
    </row>
    <row r="3" spans="1:2" x14ac:dyDescent="0.3">
      <c r="A3" s="4" t="s">
        <v>1091</v>
      </c>
      <c r="B3" t="s">
        <v>1105</v>
      </c>
    </row>
    <row r="4" spans="1:2" x14ac:dyDescent="0.3">
      <c r="A4" s="5" t="s">
        <v>35</v>
      </c>
      <c r="B4" s="15">
        <v>26</v>
      </c>
    </row>
    <row r="5" spans="1:2" x14ac:dyDescent="0.3">
      <c r="A5" s="5" t="s">
        <v>64</v>
      </c>
      <c r="B5" s="15">
        <v>20</v>
      </c>
    </row>
    <row r="6" spans="1:2" x14ac:dyDescent="0.3">
      <c r="A6" s="5" t="s">
        <v>161</v>
      </c>
      <c r="B6" s="15">
        <v>17</v>
      </c>
    </row>
    <row r="7" spans="1:2" x14ac:dyDescent="0.3">
      <c r="A7" s="5" t="s">
        <v>45</v>
      </c>
      <c r="B7" s="15">
        <v>20</v>
      </c>
    </row>
    <row r="8" spans="1:2" x14ac:dyDescent="0.3">
      <c r="A8" s="5" t="s">
        <v>191</v>
      </c>
      <c r="B8" s="15">
        <v>22</v>
      </c>
    </row>
    <row r="9" spans="1:2" x14ac:dyDescent="0.3">
      <c r="A9" s="5" t="s">
        <v>145</v>
      </c>
      <c r="B9" s="15">
        <v>23</v>
      </c>
    </row>
    <row r="10" spans="1:2" x14ac:dyDescent="0.3">
      <c r="A10" s="5" t="s">
        <v>108</v>
      </c>
      <c r="B10" s="15">
        <v>28</v>
      </c>
    </row>
    <row r="11" spans="1:2" x14ac:dyDescent="0.3">
      <c r="A11" s="5" t="s">
        <v>91</v>
      </c>
      <c r="B11" s="15">
        <v>17</v>
      </c>
    </row>
    <row r="12" spans="1:2" x14ac:dyDescent="0.3">
      <c r="A12" s="5" t="s">
        <v>176</v>
      </c>
      <c r="B12" s="15">
        <v>22</v>
      </c>
    </row>
    <row r="13" spans="1:2" x14ac:dyDescent="0.3">
      <c r="A13" s="5" t="s">
        <v>28</v>
      </c>
      <c r="B13" s="15">
        <v>22</v>
      </c>
    </row>
    <row r="14" spans="1:2" x14ac:dyDescent="0.3">
      <c r="A14" s="5" t="s">
        <v>155</v>
      </c>
      <c r="B14" s="15">
        <v>19</v>
      </c>
    </row>
    <row r="15" spans="1:2" x14ac:dyDescent="0.3">
      <c r="A15" s="5" t="s">
        <v>129</v>
      </c>
      <c r="B15" s="15">
        <v>19</v>
      </c>
    </row>
    <row r="16" spans="1:2" x14ac:dyDescent="0.3">
      <c r="A16" s="5" t="s">
        <v>18</v>
      </c>
      <c r="B16" s="15">
        <v>28</v>
      </c>
    </row>
    <row r="17" spans="1:2" x14ac:dyDescent="0.3">
      <c r="A17" s="5" t="s">
        <v>86</v>
      </c>
      <c r="B17" s="15">
        <v>16</v>
      </c>
    </row>
    <row r="18" spans="1:2" x14ac:dyDescent="0.3">
      <c r="A18" s="5" t="s">
        <v>165</v>
      </c>
      <c r="B18" s="15">
        <v>22</v>
      </c>
    </row>
    <row r="19" spans="1:2" x14ac:dyDescent="0.3">
      <c r="A19" s="5" t="s">
        <v>104</v>
      </c>
      <c r="B19" s="15">
        <v>16</v>
      </c>
    </row>
    <row r="20" spans="1:2" x14ac:dyDescent="0.3">
      <c r="A20" s="5" t="s">
        <v>149</v>
      </c>
      <c r="B20" s="15">
        <v>19</v>
      </c>
    </row>
    <row r="21" spans="1:2" x14ac:dyDescent="0.3">
      <c r="A21" s="5" t="s">
        <v>82</v>
      </c>
      <c r="B21" s="15">
        <v>23</v>
      </c>
    </row>
    <row r="22" spans="1:2" x14ac:dyDescent="0.3">
      <c r="A22" s="5" t="s">
        <v>135</v>
      </c>
      <c r="B22" s="15">
        <v>12</v>
      </c>
    </row>
    <row r="23" spans="1:2" x14ac:dyDescent="0.3">
      <c r="A23" s="5" t="s">
        <v>72</v>
      </c>
      <c r="B23" s="15">
        <v>22</v>
      </c>
    </row>
    <row r="24" spans="1:2" x14ac:dyDescent="0.3">
      <c r="A24" s="5" t="s">
        <v>78</v>
      </c>
      <c r="B24" s="15">
        <v>17</v>
      </c>
    </row>
    <row r="25" spans="1:2" x14ac:dyDescent="0.3">
      <c r="A25" s="5" t="s">
        <v>41</v>
      </c>
      <c r="B25" s="15">
        <v>20</v>
      </c>
    </row>
    <row r="26" spans="1:2" x14ac:dyDescent="0.3">
      <c r="A26" s="5" t="s">
        <v>55</v>
      </c>
      <c r="B26" s="15">
        <v>15</v>
      </c>
    </row>
    <row r="27" spans="1:2" x14ac:dyDescent="0.3">
      <c r="A27" s="5" t="s">
        <v>215</v>
      </c>
      <c r="B27" s="15">
        <v>14</v>
      </c>
    </row>
    <row r="28" spans="1:2" x14ac:dyDescent="0.3">
      <c r="A28" s="5" t="s">
        <v>59</v>
      </c>
      <c r="B28" s="15">
        <v>21</v>
      </c>
    </row>
    <row r="29" spans="1:2" x14ac:dyDescent="0.3">
      <c r="A29" s="5" t="s">
        <v>1090</v>
      </c>
      <c r="B29" s="15">
        <v>500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78B2E-07C3-4B64-8120-57DC3BD66681}">
  <dimension ref="A2:B4"/>
  <sheetViews>
    <sheetView workbookViewId="0">
      <selection activeCell="G21" sqref="G21"/>
    </sheetView>
  </sheetViews>
  <sheetFormatPr defaultRowHeight="14.4" x14ac:dyDescent="0.3"/>
  <cols>
    <col min="1" max="1" width="21" bestFit="1" customWidth="1"/>
    <col min="2" max="2" width="15.88671875" customWidth="1"/>
  </cols>
  <sheetData>
    <row r="2" spans="1:2" x14ac:dyDescent="0.3">
      <c r="B2" s="10"/>
    </row>
    <row r="3" spans="1:2" x14ac:dyDescent="0.3">
      <c r="A3" t="s">
        <v>1105</v>
      </c>
    </row>
    <row r="4" spans="1:2" x14ac:dyDescent="0.3">
      <c r="A4" s="15">
        <v>500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DF395-6305-4BDD-B18D-2625B591C036}">
  <dimension ref="A3:A4"/>
  <sheetViews>
    <sheetView workbookViewId="0">
      <selection activeCell="A4" sqref="A4"/>
    </sheetView>
  </sheetViews>
  <sheetFormatPr defaultRowHeight="14.4" x14ac:dyDescent="0.3"/>
  <cols>
    <col min="1" max="1" width="24.88671875" bestFit="1" customWidth="1"/>
  </cols>
  <sheetData>
    <row r="3" spans="1:1" x14ac:dyDescent="0.3">
      <c r="A3" t="s">
        <v>1092</v>
      </c>
    </row>
    <row r="4" spans="1:1" x14ac:dyDescent="0.3">
      <c r="A4" s="15">
        <v>93933780.490000069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5794F-44EB-432C-AC69-C4C1829C00CE}">
  <dimension ref="A1:B4"/>
  <sheetViews>
    <sheetView workbookViewId="0">
      <selection activeCell="A4" sqref="A4"/>
    </sheetView>
  </sheetViews>
  <sheetFormatPr defaultRowHeight="14.4" x14ac:dyDescent="0.3"/>
  <cols>
    <col min="1" max="1" width="21" bestFit="1" customWidth="1"/>
    <col min="2" max="2" width="6" bestFit="1" customWidth="1"/>
    <col min="3" max="4" width="15.5546875" bestFit="1" customWidth="1"/>
    <col min="5" max="5" width="10.77734375" bestFit="1" customWidth="1"/>
  </cols>
  <sheetData>
    <row r="1" spans="1:2" x14ac:dyDescent="0.3">
      <c r="A1" s="4" t="s">
        <v>14</v>
      </c>
      <c r="B1" t="s">
        <v>178</v>
      </c>
    </row>
    <row r="3" spans="1:2" x14ac:dyDescent="0.3">
      <c r="A3" t="s">
        <v>1105</v>
      </c>
    </row>
    <row r="4" spans="1:2" x14ac:dyDescent="0.3">
      <c r="A4" s="15">
        <v>13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7042E-1491-4484-855A-D49F65DE2F0D}">
  <dimension ref="A1:B4"/>
  <sheetViews>
    <sheetView workbookViewId="0">
      <selection activeCell="B2" sqref="B2"/>
    </sheetView>
  </sheetViews>
  <sheetFormatPr defaultRowHeight="14.4" x14ac:dyDescent="0.3"/>
  <cols>
    <col min="1" max="1" width="21" bestFit="1" customWidth="1"/>
    <col min="2" max="2" width="16.109375" bestFit="1" customWidth="1"/>
  </cols>
  <sheetData>
    <row r="1" spans="1:2" x14ac:dyDescent="0.3">
      <c r="A1" s="4" t="s">
        <v>12</v>
      </c>
      <c r="B1" t="s">
        <v>1106</v>
      </c>
    </row>
    <row r="3" spans="1:2" x14ac:dyDescent="0.3">
      <c r="A3" t="s">
        <v>1105</v>
      </c>
    </row>
    <row r="4" spans="1:2" x14ac:dyDescent="0.3">
      <c r="A4" s="15">
        <v>47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0"/>
  <sheetViews>
    <sheetView topLeftCell="A2" workbookViewId="0">
      <selection activeCell="A2" sqref="A2"/>
    </sheetView>
  </sheetViews>
  <sheetFormatPr defaultColWidth="14.44140625" defaultRowHeight="15" customHeight="1" x14ac:dyDescent="0.3"/>
  <cols>
    <col min="1" max="1" width="39.33203125" customWidth="1"/>
    <col min="2" max="2" width="23.21875" customWidth="1"/>
    <col min="3" max="3" width="22.44140625" bestFit="1" customWidth="1"/>
    <col min="4" max="4" width="17.21875" customWidth="1"/>
    <col min="5" max="5" width="8.6640625" customWidth="1"/>
    <col min="6" max="6" width="12" bestFit="1" customWidth="1"/>
    <col min="7" max="7" width="18.33203125" bestFit="1" customWidth="1"/>
    <col min="8" max="8" width="15.44140625" bestFit="1" customWidth="1"/>
    <col min="9" max="9" width="17.21875" customWidth="1"/>
    <col min="10" max="10" width="20" customWidth="1"/>
    <col min="11" max="11" width="15.88671875" customWidth="1"/>
    <col min="12" max="12" width="17" customWidth="1"/>
    <col min="13" max="13" width="18.33203125" customWidth="1"/>
    <col min="14" max="14" width="17.5546875" customWidth="1"/>
    <col min="15" max="15" width="10.5546875" customWidth="1"/>
    <col min="16" max="16" width="13.21875" customWidth="1"/>
    <col min="17" max="17" width="8.6640625" customWidth="1"/>
    <col min="18" max="18" width="19.5546875" customWidth="1"/>
    <col min="19" max="19" width="8.6640625" customWidth="1"/>
    <col min="20" max="20" width="15.77734375" customWidth="1"/>
    <col min="21" max="22" width="8.6640625" customWidth="1"/>
    <col min="23" max="23" width="15.77734375" customWidth="1"/>
    <col min="24" max="26" width="8.6640625" customWidth="1"/>
  </cols>
  <sheetData>
    <row r="1" spans="1:23" ht="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1094</v>
      </c>
      <c r="R1" s="13"/>
      <c r="T1" s="10"/>
      <c r="U1" s="10"/>
      <c r="W1" s="10"/>
    </row>
    <row r="2" spans="1:23" ht="14.4" x14ac:dyDescent="0.3">
      <c r="A2" s="2" t="s">
        <v>15</v>
      </c>
      <c r="B2" s="2">
        <v>989374</v>
      </c>
      <c r="C2" s="2" t="s">
        <v>16</v>
      </c>
      <c r="D2" s="2">
        <v>748642976223</v>
      </c>
      <c r="E2" s="2" t="s">
        <v>17</v>
      </c>
      <c r="F2" s="2" t="s">
        <v>18</v>
      </c>
      <c r="G2" s="2" t="s">
        <v>19</v>
      </c>
      <c r="H2" s="2" t="s">
        <v>20</v>
      </c>
      <c r="I2" s="2" t="s">
        <v>21</v>
      </c>
      <c r="J2" s="2">
        <v>489850.94</v>
      </c>
      <c r="K2" s="2" t="s">
        <v>22</v>
      </c>
      <c r="L2" s="3">
        <v>45756</v>
      </c>
      <c r="M2" s="2" t="s">
        <v>23</v>
      </c>
      <c r="N2" s="2">
        <v>2330149</v>
      </c>
      <c r="O2" s="2" t="s">
        <v>24</v>
      </c>
      <c r="P2" t="str">
        <f>TEXT(Table1[[#This Row],[Transaction Date]],"mmm")</f>
        <v>Apr</v>
      </c>
      <c r="R2" s="12"/>
      <c r="T2" s="10"/>
      <c r="U2" s="10"/>
    </row>
    <row r="3" spans="1:23" ht="14.4" x14ac:dyDescent="0.3">
      <c r="A3" s="2" t="s">
        <v>25</v>
      </c>
      <c r="B3" s="2">
        <v>945035</v>
      </c>
      <c r="C3" s="2" t="s">
        <v>26</v>
      </c>
      <c r="D3" s="2">
        <v>163745963749</v>
      </c>
      <c r="E3" s="2" t="s">
        <v>27</v>
      </c>
      <c r="F3" s="2" t="s">
        <v>28</v>
      </c>
      <c r="G3" s="2" t="s">
        <v>29</v>
      </c>
      <c r="H3" s="2" t="s">
        <v>30</v>
      </c>
      <c r="I3" s="2" t="s">
        <v>21</v>
      </c>
      <c r="J3" s="2">
        <v>427397.73</v>
      </c>
      <c r="K3" s="2" t="s">
        <v>31</v>
      </c>
      <c r="L3" s="3">
        <v>45228</v>
      </c>
      <c r="M3" s="2" t="s">
        <v>23</v>
      </c>
      <c r="N3" s="2">
        <v>1668521.67</v>
      </c>
      <c r="O3" s="2" t="s">
        <v>24</v>
      </c>
      <c r="P3" t="str">
        <f>TEXT(Table1[[#This Row],[Transaction Date]],"mmm")</f>
        <v>Oct</v>
      </c>
      <c r="R3" s="13"/>
      <c r="T3" s="10"/>
      <c r="U3" s="10"/>
    </row>
    <row r="4" spans="1:23" ht="14.4" x14ac:dyDescent="0.3">
      <c r="A4" s="2" t="s">
        <v>32</v>
      </c>
      <c r="B4" s="2">
        <v>934360</v>
      </c>
      <c r="C4" s="2" t="s">
        <v>33</v>
      </c>
      <c r="D4" s="2">
        <v>193406494234</v>
      </c>
      <c r="E4" s="2" t="s">
        <v>34</v>
      </c>
      <c r="F4" s="2" t="s">
        <v>35</v>
      </c>
      <c r="G4" s="2" t="s">
        <v>36</v>
      </c>
      <c r="H4" s="2" t="s">
        <v>20</v>
      </c>
      <c r="I4" s="2" t="s">
        <v>37</v>
      </c>
      <c r="J4" s="2">
        <v>110664.95</v>
      </c>
      <c r="K4" s="2" t="s">
        <v>38</v>
      </c>
      <c r="L4" s="3">
        <v>45373</v>
      </c>
      <c r="M4" s="2" t="s">
        <v>23</v>
      </c>
      <c r="N4" s="2">
        <v>853196.4800000001</v>
      </c>
      <c r="O4" s="2" t="s">
        <v>24</v>
      </c>
      <c r="P4" t="str">
        <f>TEXT(Table1[[#This Row],[Transaction Date]],"mmm")</f>
        <v>Mar</v>
      </c>
      <c r="R4" s="10"/>
      <c r="T4" s="10"/>
      <c r="U4" s="10"/>
    </row>
    <row r="5" spans="1:23" ht="14.4" x14ac:dyDescent="0.3">
      <c r="A5" s="2" t="s">
        <v>39</v>
      </c>
      <c r="B5" s="2">
        <v>570696</v>
      </c>
      <c r="C5" s="2" t="s">
        <v>40</v>
      </c>
      <c r="D5" s="2">
        <v>170817762643</v>
      </c>
      <c r="E5" s="2" t="s">
        <v>34</v>
      </c>
      <c r="F5" s="2" t="s">
        <v>41</v>
      </c>
      <c r="G5" s="2" t="s">
        <v>42</v>
      </c>
      <c r="H5" s="2" t="s">
        <v>30</v>
      </c>
      <c r="I5" s="2" t="s">
        <v>21</v>
      </c>
      <c r="J5" s="2">
        <v>121505.31</v>
      </c>
      <c r="K5" s="2" t="s">
        <v>22</v>
      </c>
      <c r="L5" s="3">
        <v>45646</v>
      </c>
      <c r="M5" s="2" t="s">
        <v>23</v>
      </c>
      <c r="N5" s="2">
        <v>926115.91999999993</v>
      </c>
      <c r="O5" s="2" t="s">
        <v>24</v>
      </c>
      <c r="P5" t="str">
        <f>TEXT(Table1[[#This Row],[Transaction Date]],"mmm")</f>
        <v>Dec</v>
      </c>
    </row>
    <row r="6" spans="1:23" ht="14.4" x14ac:dyDescent="0.3">
      <c r="A6" s="2" t="s">
        <v>43</v>
      </c>
      <c r="B6" s="2">
        <v>975319</v>
      </c>
      <c r="C6" s="2" t="s">
        <v>44</v>
      </c>
      <c r="D6" s="2">
        <v>319075165406</v>
      </c>
      <c r="E6" s="2" t="s">
        <v>17</v>
      </c>
      <c r="F6" s="2" t="s">
        <v>45</v>
      </c>
      <c r="G6" s="2" t="s">
        <v>46</v>
      </c>
      <c r="H6" s="2" t="s">
        <v>20</v>
      </c>
      <c r="I6" s="2" t="s">
        <v>47</v>
      </c>
      <c r="J6" s="2">
        <v>11528.19</v>
      </c>
      <c r="K6" s="2" t="s">
        <v>48</v>
      </c>
      <c r="L6" s="3">
        <v>45506</v>
      </c>
      <c r="M6" s="2" t="s">
        <v>49</v>
      </c>
      <c r="N6" s="2">
        <v>534430.57999999996</v>
      </c>
      <c r="O6" s="2" t="s">
        <v>24</v>
      </c>
      <c r="P6" t="str">
        <f>TEXT(Table1[[#This Row],[Transaction Date]],"mmm")</f>
        <v>Aug</v>
      </c>
    </row>
    <row r="7" spans="1:23" ht="14.4" x14ac:dyDescent="0.3">
      <c r="A7" s="2" t="s">
        <v>50</v>
      </c>
      <c r="B7" s="2">
        <v>895736</v>
      </c>
      <c r="C7" s="2" t="s">
        <v>51</v>
      </c>
      <c r="D7" s="2">
        <v>253605159009</v>
      </c>
      <c r="E7" s="2" t="s">
        <v>17</v>
      </c>
      <c r="F7" s="2" t="s">
        <v>45</v>
      </c>
      <c r="G7" s="2" t="s">
        <v>46</v>
      </c>
      <c r="H7" s="2" t="s">
        <v>30</v>
      </c>
      <c r="I7" s="2" t="s">
        <v>52</v>
      </c>
      <c r="J7" s="2">
        <v>458663.48</v>
      </c>
      <c r="K7" s="2" t="s">
        <v>48</v>
      </c>
      <c r="L7" s="3">
        <v>45453</v>
      </c>
      <c r="M7" s="2" t="s">
        <v>23</v>
      </c>
      <c r="N7" s="2">
        <v>2011952.25</v>
      </c>
      <c r="O7" s="2" t="s">
        <v>24</v>
      </c>
      <c r="P7" t="str">
        <f>TEXT(Table1[[#This Row],[Transaction Date]],"mmm")</f>
        <v>Jun</v>
      </c>
      <c r="R7" s="10"/>
      <c r="S7" s="10"/>
    </row>
    <row r="8" spans="1:23" ht="14.4" x14ac:dyDescent="0.3">
      <c r="A8" s="2" t="s">
        <v>53</v>
      </c>
      <c r="B8" s="2">
        <v>390841</v>
      </c>
      <c r="C8" s="2" t="s">
        <v>54</v>
      </c>
      <c r="D8" s="2">
        <v>945930618441</v>
      </c>
      <c r="E8" s="2" t="s">
        <v>17</v>
      </c>
      <c r="F8" s="2" t="s">
        <v>55</v>
      </c>
      <c r="G8" s="2" t="s">
        <v>56</v>
      </c>
      <c r="H8" s="2" t="s">
        <v>20</v>
      </c>
      <c r="I8" s="2" t="s">
        <v>52</v>
      </c>
      <c r="J8" s="2">
        <v>294460.92</v>
      </c>
      <c r="K8" s="2" t="s">
        <v>38</v>
      </c>
      <c r="L8" s="3">
        <v>45577</v>
      </c>
      <c r="M8" s="2" t="s">
        <v>23</v>
      </c>
      <c r="N8" s="2">
        <v>1713155.09</v>
      </c>
      <c r="O8" s="2" t="s">
        <v>24</v>
      </c>
      <c r="P8" t="str">
        <f>TEXT(Table1[[#This Row],[Transaction Date]],"mmm")</f>
        <v>Oct</v>
      </c>
      <c r="R8" s="10"/>
      <c r="S8" s="10"/>
    </row>
    <row r="9" spans="1:23" ht="14.4" x14ac:dyDescent="0.3">
      <c r="A9" s="2" t="s">
        <v>57</v>
      </c>
      <c r="B9" s="2">
        <v>538077</v>
      </c>
      <c r="C9" s="2" t="s">
        <v>58</v>
      </c>
      <c r="D9" s="2">
        <v>960946735259</v>
      </c>
      <c r="E9" s="2" t="s">
        <v>34</v>
      </c>
      <c r="F9" s="2" t="s">
        <v>59</v>
      </c>
      <c r="G9" s="2" t="s">
        <v>60</v>
      </c>
      <c r="H9" s="2" t="s">
        <v>30</v>
      </c>
      <c r="I9" s="2" t="s">
        <v>21</v>
      </c>
      <c r="J9" s="2">
        <v>70209.02</v>
      </c>
      <c r="K9" s="2" t="s">
        <v>48</v>
      </c>
      <c r="L9" s="3">
        <v>45436</v>
      </c>
      <c r="M9" s="2" t="s">
        <v>23</v>
      </c>
      <c r="N9" s="2">
        <v>1053966.8899999999</v>
      </c>
      <c r="O9" s="2" t="s">
        <v>24</v>
      </c>
      <c r="P9" t="str">
        <f>TEXT(Table1[[#This Row],[Transaction Date]],"mmm")</f>
        <v>May</v>
      </c>
      <c r="R9" s="10"/>
      <c r="S9" s="10"/>
    </row>
    <row r="10" spans="1:23" ht="14.4" x14ac:dyDescent="0.3">
      <c r="A10" s="2" t="s">
        <v>61</v>
      </c>
      <c r="B10" s="2">
        <v>536413</v>
      </c>
      <c r="C10" s="2" t="s">
        <v>62</v>
      </c>
      <c r="D10" s="2">
        <v>920065850736</v>
      </c>
      <c r="E10" s="2" t="s">
        <v>63</v>
      </c>
      <c r="F10" s="2" t="s">
        <v>64</v>
      </c>
      <c r="G10" s="2" t="s">
        <v>65</v>
      </c>
      <c r="H10" s="2" t="s">
        <v>66</v>
      </c>
      <c r="I10" s="2" t="s">
        <v>21</v>
      </c>
      <c r="J10" s="2">
        <v>305297.37</v>
      </c>
      <c r="K10" s="2" t="s">
        <v>31</v>
      </c>
      <c r="L10" s="3">
        <v>45531</v>
      </c>
      <c r="M10" s="2" t="s">
        <v>23</v>
      </c>
      <c r="N10" s="2">
        <v>2242547.87</v>
      </c>
      <c r="O10" s="2" t="s">
        <v>24</v>
      </c>
      <c r="P10" t="str">
        <f>TEXT(Table1[[#This Row],[Transaction Date]],"mmm")</f>
        <v>Aug</v>
      </c>
      <c r="R10" s="10"/>
      <c r="S10" s="10"/>
    </row>
    <row r="11" spans="1:23" ht="14.4" x14ac:dyDescent="0.3">
      <c r="A11" s="2" t="s">
        <v>67</v>
      </c>
      <c r="B11" s="2">
        <v>706008</v>
      </c>
      <c r="C11" s="2" t="s">
        <v>68</v>
      </c>
      <c r="D11" s="2">
        <v>246399826650</v>
      </c>
      <c r="E11" s="2" t="s">
        <v>17</v>
      </c>
      <c r="F11" s="2" t="s">
        <v>55</v>
      </c>
      <c r="G11" s="2" t="s">
        <v>56</v>
      </c>
      <c r="H11" s="2" t="s">
        <v>69</v>
      </c>
      <c r="I11" s="2" t="s">
        <v>47</v>
      </c>
      <c r="J11" s="2">
        <v>79976.37</v>
      </c>
      <c r="K11" s="2" t="s">
        <v>31</v>
      </c>
      <c r="L11" s="3">
        <v>45273</v>
      </c>
      <c r="M11" s="2" t="s">
        <v>23</v>
      </c>
      <c r="N11" s="2">
        <v>1766313.5</v>
      </c>
      <c r="O11" s="2" t="s">
        <v>24</v>
      </c>
      <c r="P11" t="str">
        <f>TEXT(Table1[[#This Row],[Transaction Date]],"mmm")</f>
        <v>Dec</v>
      </c>
    </row>
    <row r="12" spans="1:23" ht="14.4" x14ac:dyDescent="0.3">
      <c r="A12" s="2" t="s">
        <v>70</v>
      </c>
      <c r="B12" s="2">
        <v>615941</v>
      </c>
      <c r="C12" s="2" t="s">
        <v>71</v>
      </c>
      <c r="D12" s="2">
        <v>269059820502</v>
      </c>
      <c r="E12" s="2" t="s">
        <v>34</v>
      </c>
      <c r="F12" s="2" t="s">
        <v>72</v>
      </c>
      <c r="G12" s="2" t="s">
        <v>73</v>
      </c>
      <c r="H12" s="2" t="s">
        <v>66</v>
      </c>
      <c r="I12" s="2" t="s">
        <v>21</v>
      </c>
      <c r="J12" s="2">
        <v>426427.56</v>
      </c>
      <c r="K12" s="2" t="s">
        <v>48</v>
      </c>
      <c r="L12" s="3">
        <v>45121</v>
      </c>
      <c r="M12" s="2" t="s">
        <v>23</v>
      </c>
      <c r="N12" s="2">
        <v>836675.46</v>
      </c>
      <c r="O12" s="2" t="s">
        <v>24</v>
      </c>
      <c r="P12" t="str">
        <f>TEXT(Table1[[#This Row],[Transaction Date]],"mmm")</f>
        <v>Jul</v>
      </c>
    </row>
    <row r="13" spans="1:23" ht="14.4" x14ac:dyDescent="0.3">
      <c r="A13" s="2" t="s">
        <v>74</v>
      </c>
      <c r="B13" s="2">
        <v>565614</v>
      </c>
      <c r="C13" s="2" t="s">
        <v>75</v>
      </c>
      <c r="D13" s="2">
        <v>682739590821</v>
      </c>
      <c r="E13" s="2" t="s">
        <v>34</v>
      </c>
      <c r="F13" s="2" t="s">
        <v>35</v>
      </c>
      <c r="G13" s="2" t="s">
        <v>36</v>
      </c>
      <c r="H13" s="2" t="s">
        <v>20</v>
      </c>
      <c r="I13" s="2" t="s">
        <v>21</v>
      </c>
      <c r="J13" s="2">
        <v>484637.66</v>
      </c>
      <c r="K13" s="2" t="s">
        <v>38</v>
      </c>
      <c r="L13" s="3">
        <v>45485</v>
      </c>
      <c r="M13" s="2" t="s">
        <v>49</v>
      </c>
      <c r="N13" s="2">
        <v>1552234.03</v>
      </c>
      <c r="O13" s="2" t="s">
        <v>24</v>
      </c>
      <c r="P13" t="str">
        <f>TEXT(Table1[[#This Row],[Transaction Date]],"mmm")</f>
        <v>Jul</v>
      </c>
    </row>
    <row r="14" spans="1:23" ht="14.4" x14ac:dyDescent="0.3">
      <c r="A14" s="2" t="s">
        <v>76</v>
      </c>
      <c r="B14" s="2">
        <v>161024</v>
      </c>
      <c r="C14" s="2" t="s">
        <v>77</v>
      </c>
      <c r="D14" s="2">
        <v>257920784326</v>
      </c>
      <c r="E14" s="2" t="s">
        <v>27</v>
      </c>
      <c r="F14" s="2" t="s">
        <v>78</v>
      </c>
      <c r="G14" s="2" t="s">
        <v>79</v>
      </c>
      <c r="H14" s="2" t="s">
        <v>30</v>
      </c>
      <c r="I14" s="2" t="s">
        <v>21</v>
      </c>
      <c r="J14" s="2">
        <v>578105.66</v>
      </c>
      <c r="K14" s="2" t="s">
        <v>31</v>
      </c>
      <c r="L14" s="3">
        <v>45243</v>
      </c>
      <c r="M14" s="2" t="s">
        <v>23</v>
      </c>
      <c r="N14" s="2">
        <v>2235418.34</v>
      </c>
      <c r="O14" s="2" t="s">
        <v>24</v>
      </c>
      <c r="P14" t="str">
        <f>TEXT(Table1[[#This Row],[Transaction Date]],"mmm")</f>
        <v>Nov</v>
      </c>
      <c r="R14" s="11"/>
    </row>
    <row r="15" spans="1:23" ht="14.4" x14ac:dyDescent="0.3">
      <c r="A15" s="2" t="s">
        <v>80</v>
      </c>
      <c r="B15" s="2">
        <v>915727</v>
      </c>
      <c r="C15" s="2" t="s">
        <v>81</v>
      </c>
      <c r="D15" s="2">
        <v>866173303309</v>
      </c>
      <c r="E15" s="2" t="s">
        <v>63</v>
      </c>
      <c r="F15" s="2" t="s">
        <v>82</v>
      </c>
      <c r="G15" s="2" t="s">
        <v>83</v>
      </c>
      <c r="H15" s="2" t="s">
        <v>69</v>
      </c>
      <c r="I15" s="2" t="s">
        <v>47</v>
      </c>
      <c r="J15" s="2">
        <v>285270.90000000002</v>
      </c>
      <c r="K15" s="2" t="s">
        <v>22</v>
      </c>
      <c r="L15" s="3">
        <v>45837</v>
      </c>
      <c r="M15" s="2" t="s">
        <v>23</v>
      </c>
      <c r="N15" s="2">
        <v>900185.58000000007</v>
      </c>
      <c r="O15" s="2" t="s">
        <v>24</v>
      </c>
      <c r="P15" t="str">
        <f>TEXT(Table1[[#This Row],[Transaction Date]],"mmm")</f>
        <v>Jun</v>
      </c>
    </row>
    <row r="16" spans="1:23" ht="14.4" x14ac:dyDescent="0.3">
      <c r="A16" s="2" t="s">
        <v>84</v>
      </c>
      <c r="B16" s="2">
        <v>330649</v>
      </c>
      <c r="C16" s="2" t="s">
        <v>85</v>
      </c>
      <c r="D16" s="2">
        <v>725385591832</v>
      </c>
      <c r="E16" s="2" t="s">
        <v>17</v>
      </c>
      <c r="F16" s="2" t="s">
        <v>86</v>
      </c>
      <c r="G16" s="2" t="s">
        <v>87</v>
      </c>
      <c r="H16" s="2" t="s">
        <v>66</v>
      </c>
      <c r="I16" s="2" t="s">
        <v>21</v>
      </c>
      <c r="J16" s="2">
        <v>419114.61</v>
      </c>
      <c r="K16" s="2" t="s">
        <v>31</v>
      </c>
      <c r="L16" s="3">
        <v>45158</v>
      </c>
      <c r="M16" s="2" t="s">
        <v>23</v>
      </c>
      <c r="N16" s="2">
        <v>2296120.29</v>
      </c>
      <c r="O16" s="2" t="s">
        <v>24</v>
      </c>
      <c r="P16" t="str">
        <f>TEXT(Table1[[#This Row],[Transaction Date]],"mmm")</f>
        <v>Aug</v>
      </c>
    </row>
    <row r="17" spans="1:16" ht="14.4" x14ac:dyDescent="0.3">
      <c r="A17" s="2" t="s">
        <v>88</v>
      </c>
      <c r="B17" s="2">
        <v>128757</v>
      </c>
      <c r="C17" s="2" t="s">
        <v>89</v>
      </c>
      <c r="D17" s="2">
        <v>129825978524</v>
      </c>
      <c r="E17" s="2" t="s">
        <v>90</v>
      </c>
      <c r="F17" s="2" t="s">
        <v>91</v>
      </c>
      <c r="G17" s="2" t="s">
        <v>92</v>
      </c>
      <c r="H17" s="2" t="s">
        <v>20</v>
      </c>
      <c r="I17" s="2" t="s">
        <v>47</v>
      </c>
      <c r="J17" s="2">
        <v>179240.17</v>
      </c>
      <c r="K17" s="2" t="s">
        <v>48</v>
      </c>
      <c r="L17" s="3">
        <v>45394</v>
      </c>
      <c r="M17" s="2" t="s">
        <v>23</v>
      </c>
      <c r="N17" s="2">
        <v>1836585.45</v>
      </c>
      <c r="O17" s="2" t="s">
        <v>24</v>
      </c>
      <c r="P17" t="str">
        <f>TEXT(Table1[[#This Row],[Transaction Date]],"mmm")</f>
        <v>Apr</v>
      </c>
    </row>
    <row r="18" spans="1:16" ht="14.4" x14ac:dyDescent="0.3">
      <c r="A18" s="2" t="s">
        <v>93</v>
      </c>
      <c r="B18" s="2">
        <v>565942</v>
      </c>
      <c r="C18" s="2" t="s">
        <v>94</v>
      </c>
      <c r="D18" s="2">
        <v>154877991245</v>
      </c>
      <c r="E18" s="2" t="s">
        <v>34</v>
      </c>
      <c r="F18" s="2" t="s">
        <v>41</v>
      </c>
      <c r="G18" s="2" t="s">
        <v>42</v>
      </c>
      <c r="H18" s="2" t="s">
        <v>30</v>
      </c>
      <c r="I18" s="2" t="s">
        <v>52</v>
      </c>
      <c r="J18" s="2">
        <v>391121.9</v>
      </c>
      <c r="K18" s="2" t="s">
        <v>48</v>
      </c>
      <c r="L18" s="3">
        <v>45328</v>
      </c>
      <c r="M18" s="2" t="s">
        <v>23</v>
      </c>
      <c r="N18" s="2">
        <v>2037513.89</v>
      </c>
      <c r="O18" s="2" t="s">
        <v>24</v>
      </c>
      <c r="P18" t="str">
        <f>TEXT(Table1[[#This Row],[Transaction Date]],"mmm")</f>
        <v>Feb</v>
      </c>
    </row>
    <row r="19" spans="1:16" ht="14.4" x14ac:dyDescent="0.3">
      <c r="A19" s="2" t="s">
        <v>95</v>
      </c>
      <c r="B19" s="2">
        <v>367162</v>
      </c>
      <c r="C19" s="2" t="s">
        <v>96</v>
      </c>
      <c r="D19" s="2">
        <v>246576120553</v>
      </c>
      <c r="E19" s="2" t="s">
        <v>27</v>
      </c>
      <c r="F19" s="2" t="s">
        <v>78</v>
      </c>
      <c r="G19" s="2" t="s">
        <v>79</v>
      </c>
      <c r="H19" s="2" t="s">
        <v>20</v>
      </c>
      <c r="I19" s="2" t="s">
        <v>47</v>
      </c>
      <c r="J19" s="2">
        <v>209237.66</v>
      </c>
      <c r="K19" s="2" t="s">
        <v>97</v>
      </c>
      <c r="L19" s="3">
        <v>45452</v>
      </c>
      <c r="M19" s="2" t="s">
        <v>23</v>
      </c>
      <c r="N19" s="2">
        <v>2140324.83</v>
      </c>
      <c r="O19" s="2" t="s">
        <v>24</v>
      </c>
      <c r="P19" t="str">
        <f>TEXT(Table1[[#This Row],[Transaction Date]],"mmm")</f>
        <v>Jun</v>
      </c>
    </row>
    <row r="20" spans="1:16" ht="14.4" x14ac:dyDescent="0.3">
      <c r="A20" s="2" t="s">
        <v>98</v>
      </c>
      <c r="B20" s="2">
        <v>107172</v>
      </c>
      <c r="C20" s="2" t="s">
        <v>99</v>
      </c>
      <c r="D20" s="2">
        <v>475789086915</v>
      </c>
      <c r="E20" s="2" t="s">
        <v>34</v>
      </c>
      <c r="F20" s="2" t="s">
        <v>41</v>
      </c>
      <c r="G20" s="2" t="s">
        <v>42</v>
      </c>
      <c r="H20" s="2" t="s">
        <v>30</v>
      </c>
      <c r="I20" s="2" t="s">
        <v>47</v>
      </c>
      <c r="J20" s="2">
        <v>208142.17</v>
      </c>
      <c r="K20" s="2" t="s">
        <v>48</v>
      </c>
      <c r="L20" s="3">
        <v>45517</v>
      </c>
      <c r="M20" s="2" t="s">
        <v>23</v>
      </c>
      <c r="N20" s="2">
        <v>1704438.38</v>
      </c>
      <c r="O20" s="2" t="s">
        <v>24</v>
      </c>
      <c r="P20" t="str">
        <f>TEXT(Table1[[#This Row],[Transaction Date]],"mmm")</f>
        <v>Aug</v>
      </c>
    </row>
    <row r="21" spans="1:16" ht="15.75" customHeight="1" x14ac:dyDescent="0.3">
      <c r="A21" s="2" t="s">
        <v>100</v>
      </c>
      <c r="B21" s="2">
        <v>792128</v>
      </c>
      <c r="C21" s="2" t="s">
        <v>101</v>
      </c>
      <c r="D21" s="2">
        <v>421404337824</v>
      </c>
      <c r="E21" s="2" t="s">
        <v>17</v>
      </c>
      <c r="F21" s="2" t="s">
        <v>45</v>
      </c>
      <c r="G21" s="2" t="s">
        <v>46</v>
      </c>
      <c r="H21" s="2" t="s">
        <v>30</v>
      </c>
      <c r="I21" s="2" t="s">
        <v>37</v>
      </c>
      <c r="J21" s="2">
        <v>109602.66</v>
      </c>
      <c r="K21" s="2" t="s">
        <v>31</v>
      </c>
      <c r="L21" s="3">
        <v>45614</v>
      </c>
      <c r="M21" s="2" t="s">
        <v>23</v>
      </c>
      <c r="N21" s="2">
        <v>1407474.11</v>
      </c>
      <c r="O21" s="2" t="s">
        <v>24</v>
      </c>
      <c r="P21" t="str">
        <f>TEXT(Table1[[#This Row],[Transaction Date]],"mmm")</f>
        <v>Nov</v>
      </c>
    </row>
    <row r="22" spans="1:16" ht="15.75" customHeight="1" x14ac:dyDescent="0.3">
      <c r="A22" s="2" t="s">
        <v>102</v>
      </c>
      <c r="B22" s="2">
        <v>901380</v>
      </c>
      <c r="C22" s="2" t="s">
        <v>103</v>
      </c>
      <c r="D22" s="2">
        <v>399559926548</v>
      </c>
      <c r="E22" s="2" t="s">
        <v>90</v>
      </c>
      <c r="F22" s="2" t="s">
        <v>104</v>
      </c>
      <c r="G22" s="2" t="s">
        <v>105</v>
      </c>
      <c r="H22" s="2" t="s">
        <v>20</v>
      </c>
      <c r="I22" s="2" t="s">
        <v>37</v>
      </c>
      <c r="J22" s="2">
        <v>88517.73</v>
      </c>
      <c r="K22" s="2" t="s">
        <v>97</v>
      </c>
      <c r="L22" s="3">
        <v>45695</v>
      </c>
      <c r="M22" s="2" t="s">
        <v>23</v>
      </c>
      <c r="N22" s="2">
        <v>473505.78</v>
      </c>
      <c r="O22" s="2" t="s">
        <v>24</v>
      </c>
      <c r="P22" t="str">
        <f>TEXT(Table1[[#This Row],[Transaction Date]],"mmm")</f>
        <v>Feb</v>
      </c>
    </row>
    <row r="23" spans="1:16" ht="15.75" customHeight="1" x14ac:dyDescent="0.3">
      <c r="A23" s="2" t="s">
        <v>106</v>
      </c>
      <c r="B23" s="2">
        <v>877399</v>
      </c>
      <c r="C23" s="2" t="s">
        <v>107</v>
      </c>
      <c r="D23" s="2">
        <v>964797210985</v>
      </c>
      <c r="E23" s="2" t="s">
        <v>90</v>
      </c>
      <c r="F23" s="2" t="s">
        <v>108</v>
      </c>
      <c r="G23" s="2" t="s">
        <v>109</v>
      </c>
      <c r="H23" s="2" t="s">
        <v>20</v>
      </c>
      <c r="I23" s="2" t="s">
        <v>52</v>
      </c>
      <c r="J23" s="2">
        <v>415314.39</v>
      </c>
      <c r="K23" s="2" t="s">
        <v>97</v>
      </c>
      <c r="L23" s="3">
        <v>45725</v>
      </c>
      <c r="M23" s="2" t="s">
        <v>23</v>
      </c>
      <c r="N23" s="2">
        <v>1834945.27</v>
      </c>
      <c r="O23" s="2" t="s">
        <v>24</v>
      </c>
      <c r="P23" t="str">
        <f>TEXT(Table1[[#This Row],[Transaction Date]],"mmm")</f>
        <v>Mar</v>
      </c>
    </row>
    <row r="24" spans="1:16" ht="15.75" customHeight="1" x14ac:dyDescent="0.3">
      <c r="A24" s="2" t="s">
        <v>110</v>
      </c>
      <c r="B24" s="2">
        <v>268498</v>
      </c>
      <c r="C24" s="2" t="s">
        <v>111</v>
      </c>
      <c r="D24" s="2">
        <v>371376739219</v>
      </c>
      <c r="E24" s="2" t="s">
        <v>63</v>
      </c>
      <c r="F24" s="2" t="s">
        <v>82</v>
      </c>
      <c r="G24" s="2" t="s">
        <v>83</v>
      </c>
      <c r="H24" s="2" t="s">
        <v>20</v>
      </c>
      <c r="I24" s="2" t="s">
        <v>52</v>
      </c>
      <c r="J24" s="2">
        <v>41441.83</v>
      </c>
      <c r="K24" s="2" t="s">
        <v>48</v>
      </c>
      <c r="L24" s="3">
        <v>45570</v>
      </c>
      <c r="M24" s="2" t="s">
        <v>112</v>
      </c>
      <c r="N24" s="2">
        <v>1056408.71</v>
      </c>
      <c r="O24" s="2" t="s">
        <v>24</v>
      </c>
      <c r="P24" t="str">
        <f>TEXT(Table1[[#This Row],[Transaction Date]],"mmm")</f>
        <v>Oct</v>
      </c>
    </row>
    <row r="25" spans="1:16" ht="15.75" customHeight="1" x14ac:dyDescent="0.3">
      <c r="A25" s="2" t="s">
        <v>113</v>
      </c>
      <c r="B25" s="2">
        <v>509182</v>
      </c>
      <c r="C25" s="2" t="s">
        <v>114</v>
      </c>
      <c r="D25" s="2">
        <v>290112954278</v>
      </c>
      <c r="E25" s="2" t="s">
        <v>63</v>
      </c>
      <c r="F25" s="2" t="s">
        <v>64</v>
      </c>
      <c r="G25" s="2" t="s">
        <v>65</v>
      </c>
      <c r="H25" s="2" t="s">
        <v>20</v>
      </c>
      <c r="I25" s="2" t="s">
        <v>52</v>
      </c>
      <c r="J25" s="2">
        <v>342882.13</v>
      </c>
      <c r="K25" s="2" t="s">
        <v>97</v>
      </c>
      <c r="L25" s="3">
        <v>45651</v>
      </c>
      <c r="M25" s="2" t="s">
        <v>23</v>
      </c>
      <c r="N25" s="2">
        <v>540147.12</v>
      </c>
      <c r="O25" s="2" t="s">
        <v>24</v>
      </c>
      <c r="P25" t="str">
        <f>TEXT(Table1[[#This Row],[Transaction Date]],"mmm")</f>
        <v>Dec</v>
      </c>
    </row>
    <row r="26" spans="1:16" ht="15.75" customHeight="1" x14ac:dyDescent="0.3">
      <c r="A26" s="2" t="s">
        <v>115</v>
      </c>
      <c r="B26" s="2">
        <v>298244</v>
      </c>
      <c r="C26" s="2" t="s">
        <v>116</v>
      </c>
      <c r="D26" s="2">
        <v>977958651702</v>
      </c>
      <c r="E26" s="2" t="s">
        <v>27</v>
      </c>
      <c r="F26" s="2" t="s">
        <v>78</v>
      </c>
      <c r="G26" s="2" t="s">
        <v>79</v>
      </c>
      <c r="H26" s="2" t="s">
        <v>66</v>
      </c>
      <c r="I26" s="2" t="s">
        <v>52</v>
      </c>
      <c r="J26" s="2">
        <v>271432.19</v>
      </c>
      <c r="K26" s="2" t="s">
        <v>38</v>
      </c>
      <c r="L26" s="3">
        <v>45589</v>
      </c>
      <c r="M26" s="2" t="s">
        <v>23</v>
      </c>
      <c r="N26" s="2">
        <v>1473919.05</v>
      </c>
      <c r="O26" s="2" t="s">
        <v>24</v>
      </c>
      <c r="P26" t="str">
        <f>TEXT(Table1[[#This Row],[Transaction Date]],"mmm")</f>
        <v>Oct</v>
      </c>
    </row>
    <row r="27" spans="1:16" ht="15.75" customHeight="1" x14ac:dyDescent="0.3">
      <c r="A27" s="2" t="s">
        <v>117</v>
      </c>
      <c r="B27" s="2">
        <v>564685</v>
      </c>
      <c r="C27" s="2" t="s">
        <v>118</v>
      </c>
      <c r="D27" s="2">
        <v>381970890311</v>
      </c>
      <c r="E27" s="2" t="s">
        <v>63</v>
      </c>
      <c r="F27" s="2" t="s">
        <v>82</v>
      </c>
      <c r="G27" s="2" t="s">
        <v>83</v>
      </c>
      <c r="H27" s="2" t="s">
        <v>66</v>
      </c>
      <c r="I27" s="2" t="s">
        <v>52</v>
      </c>
      <c r="J27" s="2">
        <v>253021.62</v>
      </c>
      <c r="K27" s="2" t="s">
        <v>48</v>
      </c>
      <c r="L27" s="3">
        <v>45405</v>
      </c>
      <c r="M27" s="2" t="s">
        <v>23</v>
      </c>
      <c r="N27" s="2">
        <v>2087860.21</v>
      </c>
      <c r="O27" s="2" t="s">
        <v>24</v>
      </c>
      <c r="P27" t="str">
        <f>TEXT(Table1[[#This Row],[Transaction Date]],"mmm")</f>
        <v>Apr</v>
      </c>
    </row>
    <row r="28" spans="1:16" ht="15.75" customHeight="1" x14ac:dyDescent="0.3">
      <c r="A28" s="2" t="s">
        <v>119</v>
      </c>
      <c r="B28" s="2">
        <v>772989</v>
      </c>
      <c r="C28" s="2" t="s">
        <v>120</v>
      </c>
      <c r="D28" s="2">
        <v>753553434809</v>
      </c>
      <c r="E28" s="2" t="s">
        <v>17</v>
      </c>
      <c r="F28" s="2" t="s">
        <v>86</v>
      </c>
      <c r="G28" s="2" t="s">
        <v>87</v>
      </c>
      <c r="H28" s="2" t="s">
        <v>66</v>
      </c>
      <c r="I28" s="2" t="s">
        <v>37</v>
      </c>
      <c r="J28" s="2">
        <v>20332.900000000001</v>
      </c>
      <c r="K28" s="2" t="s">
        <v>48</v>
      </c>
      <c r="L28" s="3">
        <v>45503</v>
      </c>
      <c r="M28" s="2" t="s">
        <v>23</v>
      </c>
      <c r="N28" s="2">
        <v>343435.64</v>
      </c>
      <c r="O28" s="2" t="s">
        <v>24</v>
      </c>
      <c r="P28" t="str">
        <f>TEXT(Table1[[#This Row],[Transaction Date]],"mmm")</f>
        <v>Jul</v>
      </c>
    </row>
    <row r="29" spans="1:16" ht="15.75" customHeight="1" x14ac:dyDescent="0.3">
      <c r="A29" s="2" t="s">
        <v>121</v>
      </c>
      <c r="B29" s="2">
        <v>516447</v>
      </c>
      <c r="C29" s="2" t="s">
        <v>122</v>
      </c>
      <c r="D29" s="2">
        <v>173872984561</v>
      </c>
      <c r="E29" s="2" t="s">
        <v>27</v>
      </c>
      <c r="F29" s="2" t="s">
        <v>28</v>
      </c>
      <c r="G29" s="2" t="s">
        <v>29</v>
      </c>
      <c r="H29" s="2" t="s">
        <v>66</v>
      </c>
      <c r="I29" s="2" t="s">
        <v>37</v>
      </c>
      <c r="J29" s="2">
        <v>108072.78</v>
      </c>
      <c r="K29" s="2" t="s">
        <v>22</v>
      </c>
      <c r="L29" s="3">
        <v>45450</v>
      </c>
      <c r="M29" s="2" t="s">
        <v>49</v>
      </c>
      <c r="N29" s="2">
        <v>1433209.47</v>
      </c>
      <c r="O29" s="2" t="s">
        <v>24</v>
      </c>
      <c r="P29" t="str">
        <f>TEXT(Table1[[#This Row],[Transaction Date]],"mmm")</f>
        <v>Jun</v>
      </c>
    </row>
    <row r="30" spans="1:16" ht="15.75" customHeight="1" x14ac:dyDescent="0.3">
      <c r="A30" s="2" t="s">
        <v>123</v>
      </c>
      <c r="B30" s="2">
        <v>171990</v>
      </c>
      <c r="C30" s="2" t="s">
        <v>124</v>
      </c>
      <c r="D30" s="2">
        <v>427472926649</v>
      </c>
      <c r="E30" s="2" t="s">
        <v>17</v>
      </c>
      <c r="F30" s="2" t="s">
        <v>86</v>
      </c>
      <c r="G30" s="2" t="s">
        <v>87</v>
      </c>
      <c r="H30" s="2" t="s">
        <v>66</v>
      </c>
      <c r="I30" s="2" t="s">
        <v>47</v>
      </c>
      <c r="J30" s="2">
        <v>248672.35</v>
      </c>
      <c r="K30" s="2" t="s">
        <v>38</v>
      </c>
      <c r="L30" s="3">
        <v>45156</v>
      </c>
      <c r="M30" s="2" t="s">
        <v>23</v>
      </c>
      <c r="N30" s="2">
        <v>838290.03999999992</v>
      </c>
      <c r="O30" s="2" t="s">
        <v>24</v>
      </c>
      <c r="P30" t="str">
        <f>TEXT(Table1[[#This Row],[Transaction Date]],"mmm")</f>
        <v>Aug</v>
      </c>
    </row>
    <row r="31" spans="1:16" ht="15.75" customHeight="1" x14ac:dyDescent="0.3">
      <c r="A31" s="2" t="s">
        <v>125</v>
      </c>
      <c r="B31" s="2">
        <v>217181</v>
      </c>
      <c r="C31" s="2" t="s">
        <v>126</v>
      </c>
      <c r="D31" s="2">
        <v>336318549444</v>
      </c>
      <c r="E31" s="2" t="s">
        <v>90</v>
      </c>
      <c r="F31" s="2" t="s">
        <v>108</v>
      </c>
      <c r="G31" s="2" t="s">
        <v>109</v>
      </c>
      <c r="H31" s="2" t="s">
        <v>20</v>
      </c>
      <c r="I31" s="2" t="s">
        <v>37</v>
      </c>
      <c r="J31" s="2">
        <v>29516.09</v>
      </c>
      <c r="K31" s="2" t="s">
        <v>97</v>
      </c>
      <c r="L31" s="3">
        <v>45217</v>
      </c>
      <c r="M31" s="2" t="s">
        <v>23</v>
      </c>
      <c r="N31" s="2">
        <v>1870328.71</v>
      </c>
      <c r="O31" s="2" t="s">
        <v>24</v>
      </c>
      <c r="P31" t="str">
        <f>TEXT(Table1[[#This Row],[Transaction Date]],"mmm")</f>
        <v>Oct</v>
      </c>
    </row>
    <row r="32" spans="1:16" ht="15.75" customHeight="1" x14ac:dyDescent="0.3">
      <c r="A32" s="2" t="s">
        <v>127</v>
      </c>
      <c r="B32" s="2">
        <v>853995</v>
      </c>
      <c r="C32" s="2" t="s">
        <v>128</v>
      </c>
      <c r="D32" s="2">
        <v>564485035229</v>
      </c>
      <c r="E32" s="2" t="s">
        <v>90</v>
      </c>
      <c r="F32" s="2" t="s">
        <v>129</v>
      </c>
      <c r="G32" s="2" t="s">
        <v>130</v>
      </c>
      <c r="H32" s="2" t="s">
        <v>66</v>
      </c>
      <c r="I32" s="2" t="s">
        <v>21</v>
      </c>
      <c r="J32" s="2">
        <v>285994.06</v>
      </c>
      <c r="K32" s="2" t="s">
        <v>38</v>
      </c>
      <c r="L32" s="3">
        <v>45429</v>
      </c>
      <c r="M32" s="2" t="s">
        <v>23</v>
      </c>
      <c r="N32" s="2">
        <v>2159844.0099999998</v>
      </c>
      <c r="O32" s="2" t="s">
        <v>24</v>
      </c>
      <c r="P32" t="str">
        <f>TEXT(Table1[[#This Row],[Transaction Date]],"mmm")</f>
        <v>May</v>
      </c>
    </row>
    <row r="33" spans="1:16" ht="15.75" customHeight="1" x14ac:dyDescent="0.3">
      <c r="A33" s="2" t="s">
        <v>131</v>
      </c>
      <c r="B33" s="2">
        <v>433879</v>
      </c>
      <c r="C33" s="2" t="s">
        <v>132</v>
      </c>
      <c r="D33" s="2">
        <v>201493145216</v>
      </c>
      <c r="E33" s="2" t="s">
        <v>90</v>
      </c>
      <c r="F33" s="2" t="s">
        <v>91</v>
      </c>
      <c r="G33" s="2" t="s">
        <v>92</v>
      </c>
      <c r="H33" s="2" t="s">
        <v>69</v>
      </c>
      <c r="I33" s="2" t="s">
        <v>21</v>
      </c>
      <c r="J33" s="2">
        <v>374242.97</v>
      </c>
      <c r="K33" s="2" t="s">
        <v>38</v>
      </c>
      <c r="L33" s="3">
        <v>45128</v>
      </c>
      <c r="M33" s="2" t="s">
        <v>23</v>
      </c>
      <c r="N33" s="2">
        <v>1965672.23</v>
      </c>
      <c r="O33" s="2" t="s">
        <v>24</v>
      </c>
      <c r="P33" t="str">
        <f>TEXT(Table1[[#This Row],[Transaction Date]],"mmm")</f>
        <v>Jul</v>
      </c>
    </row>
    <row r="34" spans="1:16" ht="15.75" customHeight="1" x14ac:dyDescent="0.3">
      <c r="A34" s="2" t="s">
        <v>133</v>
      </c>
      <c r="B34" s="2">
        <v>651973</v>
      </c>
      <c r="C34" s="2" t="s">
        <v>134</v>
      </c>
      <c r="D34" s="2">
        <v>560621316956</v>
      </c>
      <c r="E34" s="2" t="s">
        <v>34</v>
      </c>
      <c r="F34" s="2" t="s">
        <v>135</v>
      </c>
      <c r="G34" s="2" t="s">
        <v>136</v>
      </c>
      <c r="H34" s="2" t="s">
        <v>30</v>
      </c>
      <c r="I34" s="2" t="s">
        <v>21</v>
      </c>
      <c r="J34" s="2">
        <v>148852.68</v>
      </c>
      <c r="K34" s="2" t="s">
        <v>38</v>
      </c>
      <c r="L34" s="3">
        <v>45796</v>
      </c>
      <c r="M34" s="2" t="s">
        <v>23</v>
      </c>
      <c r="N34" s="2">
        <v>1180170.71</v>
      </c>
      <c r="O34" s="2" t="s">
        <v>24</v>
      </c>
      <c r="P34" t="str">
        <f>TEXT(Table1[[#This Row],[Transaction Date]],"mmm")</f>
        <v>May</v>
      </c>
    </row>
    <row r="35" spans="1:16" ht="15.75" customHeight="1" x14ac:dyDescent="0.3">
      <c r="A35" s="2" t="s">
        <v>137</v>
      </c>
      <c r="B35" s="2">
        <v>743304</v>
      </c>
      <c r="C35" s="2" t="s">
        <v>138</v>
      </c>
      <c r="D35" s="2">
        <v>213916121897</v>
      </c>
      <c r="E35" s="2" t="s">
        <v>63</v>
      </c>
      <c r="F35" s="2" t="s">
        <v>64</v>
      </c>
      <c r="G35" s="2" t="s">
        <v>65</v>
      </c>
      <c r="H35" s="2" t="s">
        <v>66</v>
      </c>
      <c r="I35" s="2" t="s">
        <v>52</v>
      </c>
      <c r="J35" s="2">
        <v>101567.88</v>
      </c>
      <c r="K35" s="2" t="s">
        <v>48</v>
      </c>
      <c r="L35" s="3">
        <v>45746</v>
      </c>
      <c r="M35" s="2" t="s">
        <v>23</v>
      </c>
      <c r="N35" s="2">
        <v>199853.73</v>
      </c>
      <c r="O35" s="2" t="s">
        <v>24</v>
      </c>
      <c r="P35" t="str">
        <f>TEXT(Table1[[#This Row],[Transaction Date]],"mmm")</f>
        <v>Mar</v>
      </c>
    </row>
    <row r="36" spans="1:16" ht="15.75" customHeight="1" x14ac:dyDescent="0.3">
      <c r="A36" s="2" t="s">
        <v>139</v>
      </c>
      <c r="B36" s="2">
        <v>433578</v>
      </c>
      <c r="C36" s="2" t="s">
        <v>140</v>
      </c>
      <c r="D36" s="2">
        <v>524724150945</v>
      </c>
      <c r="E36" s="2" t="s">
        <v>17</v>
      </c>
      <c r="F36" s="2" t="s">
        <v>18</v>
      </c>
      <c r="G36" s="2" t="s">
        <v>19</v>
      </c>
      <c r="H36" s="2" t="s">
        <v>20</v>
      </c>
      <c r="I36" s="2" t="s">
        <v>47</v>
      </c>
      <c r="J36" s="2">
        <v>229408.77</v>
      </c>
      <c r="K36" s="2" t="s">
        <v>22</v>
      </c>
      <c r="L36" s="3">
        <v>45706</v>
      </c>
      <c r="M36" s="2" t="s">
        <v>23</v>
      </c>
      <c r="N36" s="2">
        <v>777778</v>
      </c>
      <c r="O36" s="2" t="s">
        <v>24</v>
      </c>
      <c r="P36" t="str">
        <f>TEXT(Table1[[#This Row],[Transaction Date]],"mmm")</f>
        <v>Feb</v>
      </c>
    </row>
    <row r="37" spans="1:16" ht="15.75" customHeight="1" x14ac:dyDescent="0.3">
      <c r="A37" s="2" t="s">
        <v>141</v>
      </c>
      <c r="B37" s="2">
        <v>335618</v>
      </c>
      <c r="C37" s="2" t="s">
        <v>142</v>
      </c>
      <c r="D37" s="2">
        <v>978676125504</v>
      </c>
      <c r="E37" s="2" t="s">
        <v>90</v>
      </c>
      <c r="F37" s="2" t="s">
        <v>104</v>
      </c>
      <c r="G37" s="2" t="s">
        <v>105</v>
      </c>
      <c r="H37" s="2" t="s">
        <v>66</v>
      </c>
      <c r="I37" s="2" t="s">
        <v>21</v>
      </c>
      <c r="J37" s="2">
        <v>66704.02</v>
      </c>
      <c r="K37" s="2" t="s">
        <v>31</v>
      </c>
      <c r="L37" s="3">
        <v>45241</v>
      </c>
      <c r="M37" s="2" t="s">
        <v>23</v>
      </c>
      <c r="N37" s="2">
        <v>183649.06</v>
      </c>
      <c r="O37" s="2" t="s">
        <v>24</v>
      </c>
      <c r="P37" t="str">
        <f>TEXT(Table1[[#This Row],[Transaction Date]],"mmm")</f>
        <v>Nov</v>
      </c>
    </row>
    <row r="38" spans="1:16" ht="15.75" customHeight="1" x14ac:dyDescent="0.3">
      <c r="A38" s="2" t="s">
        <v>143</v>
      </c>
      <c r="B38" s="2">
        <v>134765</v>
      </c>
      <c r="C38" s="2" t="s">
        <v>144</v>
      </c>
      <c r="D38" s="2">
        <v>580776402182</v>
      </c>
      <c r="E38" s="2" t="s">
        <v>63</v>
      </c>
      <c r="F38" s="2" t="s">
        <v>145</v>
      </c>
      <c r="G38" s="2" t="s">
        <v>146</v>
      </c>
      <c r="H38" s="2" t="s">
        <v>66</v>
      </c>
      <c r="I38" s="2" t="s">
        <v>47</v>
      </c>
      <c r="J38" s="2">
        <v>36992.14</v>
      </c>
      <c r="K38" s="2" t="s">
        <v>48</v>
      </c>
      <c r="L38" s="3">
        <v>45588</v>
      </c>
      <c r="M38" s="2" t="s">
        <v>23</v>
      </c>
      <c r="N38" s="2">
        <v>1678066.58</v>
      </c>
      <c r="O38" s="2" t="s">
        <v>24</v>
      </c>
      <c r="P38" t="str">
        <f>TEXT(Table1[[#This Row],[Transaction Date]],"mmm")</f>
        <v>Oct</v>
      </c>
    </row>
    <row r="39" spans="1:16" ht="15.75" customHeight="1" x14ac:dyDescent="0.3">
      <c r="A39" s="2" t="s">
        <v>147</v>
      </c>
      <c r="B39" s="2">
        <v>837453</v>
      </c>
      <c r="C39" s="2" t="s">
        <v>148</v>
      </c>
      <c r="D39" s="2">
        <v>192276969734</v>
      </c>
      <c r="E39" s="2" t="s">
        <v>27</v>
      </c>
      <c r="F39" s="2" t="s">
        <v>149</v>
      </c>
      <c r="G39" s="2" t="s">
        <v>150</v>
      </c>
      <c r="H39" s="2" t="s">
        <v>20</v>
      </c>
      <c r="I39" s="2" t="s">
        <v>52</v>
      </c>
      <c r="J39" s="2">
        <v>122297.94</v>
      </c>
      <c r="K39" s="2" t="s">
        <v>97</v>
      </c>
      <c r="L39" s="3">
        <v>45336</v>
      </c>
      <c r="M39" s="2" t="s">
        <v>23</v>
      </c>
      <c r="N39" s="2">
        <v>351667.74</v>
      </c>
      <c r="O39" s="2" t="s">
        <v>24</v>
      </c>
      <c r="P39" t="str">
        <f>TEXT(Table1[[#This Row],[Transaction Date]],"mmm")</f>
        <v>Feb</v>
      </c>
    </row>
    <row r="40" spans="1:16" ht="15.75" customHeight="1" x14ac:dyDescent="0.3">
      <c r="A40" s="2" t="s">
        <v>151</v>
      </c>
      <c r="B40" s="2">
        <v>212429</v>
      </c>
      <c r="C40" s="2" t="s">
        <v>152</v>
      </c>
      <c r="D40" s="2">
        <v>788289851630</v>
      </c>
      <c r="E40" s="2" t="s">
        <v>90</v>
      </c>
      <c r="F40" s="2" t="s">
        <v>91</v>
      </c>
      <c r="G40" s="2" t="s">
        <v>92</v>
      </c>
      <c r="H40" s="2" t="s">
        <v>20</v>
      </c>
      <c r="I40" s="2" t="s">
        <v>47</v>
      </c>
      <c r="J40" s="2">
        <v>270490.09999999998</v>
      </c>
      <c r="K40" s="2" t="s">
        <v>38</v>
      </c>
      <c r="L40" s="3">
        <v>45566</v>
      </c>
      <c r="M40" s="2" t="s">
        <v>23</v>
      </c>
      <c r="N40" s="2">
        <v>1171836.49</v>
      </c>
      <c r="O40" s="2" t="s">
        <v>24</v>
      </c>
      <c r="P40" t="str">
        <f>TEXT(Table1[[#This Row],[Transaction Date]],"mmm")</f>
        <v>Oct</v>
      </c>
    </row>
    <row r="41" spans="1:16" ht="15.75" customHeight="1" x14ac:dyDescent="0.3">
      <c r="A41" s="2" t="s">
        <v>153</v>
      </c>
      <c r="B41" s="2">
        <v>652501</v>
      </c>
      <c r="C41" s="2" t="s">
        <v>154</v>
      </c>
      <c r="D41" s="2">
        <v>792670907549</v>
      </c>
      <c r="E41" s="2" t="s">
        <v>17</v>
      </c>
      <c r="F41" s="2" t="s">
        <v>155</v>
      </c>
      <c r="G41" s="2" t="s">
        <v>156</v>
      </c>
      <c r="H41" s="2" t="s">
        <v>66</v>
      </c>
      <c r="I41" s="2" t="s">
        <v>21</v>
      </c>
      <c r="J41" s="2">
        <v>51847.92</v>
      </c>
      <c r="K41" s="2" t="s">
        <v>22</v>
      </c>
      <c r="L41" s="3">
        <v>45548</v>
      </c>
      <c r="M41" s="2" t="s">
        <v>23</v>
      </c>
      <c r="N41" s="2">
        <v>930650.27</v>
      </c>
      <c r="O41" s="2" t="s">
        <v>24</v>
      </c>
      <c r="P41" t="str">
        <f>TEXT(Table1[[#This Row],[Transaction Date]],"mmm")</f>
        <v>Sep</v>
      </c>
    </row>
    <row r="42" spans="1:16" ht="15.75" customHeight="1" x14ac:dyDescent="0.3">
      <c r="A42" s="2" t="s">
        <v>157</v>
      </c>
      <c r="B42" s="2">
        <v>223517</v>
      </c>
      <c r="C42" s="2" t="s">
        <v>158</v>
      </c>
      <c r="D42" s="2">
        <v>709411524006</v>
      </c>
      <c r="E42" s="2" t="s">
        <v>90</v>
      </c>
      <c r="F42" s="2" t="s">
        <v>91</v>
      </c>
      <c r="G42" s="2" t="s">
        <v>92</v>
      </c>
      <c r="H42" s="2" t="s">
        <v>66</v>
      </c>
      <c r="I42" s="2" t="s">
        <v>47</v>
      </c>
      <c r="J42" s="2">
        <v>134957.76999999999</v>
      </c>
      <c r="K42" s="2" t="s">
        <v>38</v>
      </c>
      <c r="L42" s="3">
        <v>45198</v>
      </c>
      <c r="M42" s="2" t="s">
        <v>23</v>
      </c>
      <c r="N42" s="2">
        <v>604057.52</v>
      </c>
      <c r="O42" s="2" t="s">
        <v>24</v>
      </c>
      <c r="P42" t="str">
        <f>TEXT(Table1[[#This Row],[Transaction Date]],"mmm")</f>
        <v>Sep</v>
      </c>
    </row>
    <row r="43" spans="1:16" ht="15.75" customHeight="1" x14ac:dyDescent="0.3">
      <c r="A43" s="2" t="s">
        <v>159</v>
      </c>
      <c r="B43" s="2">
        <v>875642</v>
      </c>
      <c r="C43" s="2" t="s">
        <v>160</v>
      </c>
      <c r="D43" s="2">
        <v>397885804569</v>
      </c>
      <c r="E43" s="2" t="s">
        <v>90</v>
      </c>
      <c r="F43" s="2" t="s">
        <v>161</v>
      </c>
      <c r="G43" s="2" t="s">
        <v>162</v>
      </c>
      <c r="H43" s="2" t="s">
        <v>30</v>
      </c>
      <c r="I43" s="2" t="s">
        <v>37</v>
      </c>
      <c r="J43" s="2">
        <v>58285.919999999998</v>
      </c>
      <c r="K43" s="2" t="s">
        <v>48</v>
      </c>
      <c r="L43" s="3">
        <v>45269</v>
      </c>
      <c r="M43" s="2" t="s">
        <v>23</v>
      </c>
      <c r="N43" s="2">
        <v>1596795</v>
      </c>
      <c r="O43" s="2" t="s">
        <v>24</v>
      </c>
      <c r="P43" t="str">
        <f>TEXT(Table1[[#This Row],[Transaction Date]],"mmm")</f>
        <v>Dec</v>
      </c>
    </row>
    <row r="44" spans="1:16" ht="15.75" customHeight="1" x14ac:dyDescent="0.3">
      <c r="A44" s="2" t="s">
        <v>163</v>
      </c>
      <c r="B44" s="2">
        <v>634610</v>
      </c>
      <c r="C44" s="2" t="s">
        <v>164</v>
      </c>
      <c r="D44" s="2">
        <v>707104940908</v>
      </c>
      <c r="E44" s="2" t="s">
        <v>63</v>
      </c>
      <c r="F44" s="2" t="s">
        <v>165</v>
      </c>
      <c r="G44" s="2" t="s">
        <v>166</v>
      </c>
      <c r="H44" s="2" t="s">
        <v>66</v>
      </c>
      <c r="I44" s="2" t="s">
        <v>37</v>
      </c>
      <c r="J44" s="2">
        <v>143215.06</v>
      </c>
      <c r="K44" s="2" t="s">
        <v>22</v>
      </c>
      <c r="L44" s="3">
        <v>45488</v>
      </c>
      <c r="M44" s="2" t="s">
        <v>167</v>
      </c>
      <c r="N44" s="2">
        <v>1345360.8</v>
      </c>
      <c r="O44" s="2" t="s">
        <v>24</v>
      </c>
      <c r="P44" t="str">
        <f>TEXT(Table1[[#This Row],[Transaction Date]],"mmm")</f>
        <v>Jul</v>
      </c>
    </row>
    <row r="45" spans="1:16" ht="15.75" customHeight="1" x14ac:dyDescent="0.3">
      <c r="A45" s="2" t="s">
        <v>168</v>
      </c>
      <c r="B45" s="2">
        <v>378722</v>
      </c>
      <c r="C45" s="2" t="s">
        <v>169</v>
      </c>
      <c r="D45" s="2">
        <v>327507559769</v>
      </c>
      <c r="E45" s="2" t="s">
        <v>34</v>
      </c>
      <c r="F45" s="2" t="s">
        <v>35</v>
      </c>
      <c r="G45" s="2" t="s">
        <v>36</v>
      </c>
      <c r="H45" s="2" t="s">
        <v>69</v>
      </c>
      <c r="I45" s="2" t="s">
        <v>37</v>
      </c>
      <c r="J45" s="2">
        <v>53733.54</v>
      </c>
      <c r="K45" s="2" t="s">
        <v>48</v>
      </c>
      <c r="L45" s="3">
        <v>45438</v>
      </c>
      <c r="M45" s="2" t="s">
        <v>23</v>
      </c>
      <c r="N45" s="2">
        <v>52500.329999999987</v>
      </c>
      <c r="O45" s="2" t="s">
        <v>24</v>
      </c>
      <c r="P45" t="str">
        <f>TEXT(Table1[[#This Row],[Transaction Date]],"mmm")</f>
        <v>May</v>
      </c>
    </row>
    <row r="46" spans="1:16" ht="15.75" customHeight="1" x14ac:dyDescent="0.3">
      <c r="A46" s="2" t="s">
        <v>170</v>
      </c>
      <c r="B46" s="2">
        <v>870934</v>
      </c>
      <c r="C46" s="2" t="s">
        <v>171</v>
      </c>
      <c r="D46" s="2">
        <v>982037976790</v>
      </c>
      <c r="E46" s="2" t="s">
        <v>90</v>
      </c>
      <c r="F46" s="2" t="s">
        <v>108</v>
      </c>
      <c r="G46" s="2" t="s">
        <v>109</v>
      </c>
      <c r="H46" s="2" t="s">
        <v>20</v>
      </c>
      <c r="I46" s="2" t="s">
        <v>21</v>
      </c>
      <c r="J46" s="2">
        <v>334428.89</v>
      </c>
      <c r="K46" s="2" t="s">
        <v>31</v>
      </c>
      <c r="L46" s="3">
        <v>45151</v>
      </c>
      <c r="M46" s="2" t="s">
        <v>23</v>
      </c>
      <c r="N46" s="2">
        <v>1019397.23</v>
      </c>
      <c r="O46" s="2" t="s">
        <v>24</v>
      </c>
      <c r="P46" t="str">
        <f>TEXT(Table1[[#This Row],[Transaction Date]],"mmm")</f>
        <v>Aug</v>
      </c>
    </row>
    <row r="47" spans="1:16" ht="15.75" customHeight="1" x14ac:dyDescent="0.3">
      <c r="A47" s="2" t="s">
        <v>172</v>
      </c>
      <c r="B47" s="2">
        <v>545234</v>
      </c>
      <c r="C47" s="2" t="s">
        <v>173</v>
      </c>
      <c r="D47" s="2">
        <v>702697254640</v>
      </c>
      <c r="E47" s="2" t="s">
        <v>63</v>
      </c>
      <c r="F47" s="2" t="s">
        <v>165</v>
      </c>
      <c r="G47" s="2" t="s">
        <v>166</v>
      </c>
      <c r="H47" s="2" t="s">
        <v>30</v>
      </c>
      <c r="I47" s="2" t="s">
        <v>21</v>
      </c>
      <c r="J47" s="2">
        <v>239589.03</v>
      </c>
      <c r="K47" s="2" t="s">
        <v>48</v>
      </c>
      <c r="L47" s="3">
        <v>45186</v>
      </c>
      <c r="M47" s="2" t="s">
        <v>23</v>
      </c>
      <c r="N47" s="2">
        <v>1886842.96</v>
      </c>
      <c r="O47" s="2" t="s">
        <v>24</v>
      </c>
      <c r="P47" t="str">
        <f>TEXT(Table1[[#This Row],[Transaction Date]],"mmm")</f>
        <v>Sep</v>
      </c>
    </row>
    <row r="48" spans="1:16" ht="15.75" customHeight="1" x14ac:dyDescent="0.3">
      <c r="A48" s="2" t="s">
        <v>174</v>
      </c>
      <c r="B48" s="2">
        <v>282725</v>
      </c>
      <c r="C48" s="2" t="s">
        <v>175</v>
      </c>
      <c r="D48" s="2">
        <v>590927660148</v>
      </c>
      <c r="E48" s="2" t="s">
        <v>63</v>
      </c>
      <c r="F48" s="2" t="s">
        <v>176</v>
      </c>
      <c r="G48" s="2" t="s">
        <v>177</v>
      </c>
      <c r="H48" s="2" t="s">
        <v>20</v>
      </c>
      <c r="I48" s="2" t="s">
        <v>52</v>
      </c>
      <c r="J48" s="2">
        <v>228752.03</v>
      </c>
      <c r="K48" s="2" t="s">
        <v>31</v>
      </c>
      <c r="L48" s="3">
        <v>45348</v>
      </c>
      <c r="M48" s="2" t="s">
        <v>23</v>
      </c>
      <c r="N48" s="2">
        <v>1606533</v>
      </c>
      <c r="O48" s="2" t="s">
        <v>178</v>
      </c>
      <c r="P48" t="str">
        <f>TEXT(Table1[[#This Row],[Transaction Date]],"mmm")</f>
        <v>Feb</v>
      </c>
    </row>
    <row r="49" spans="1:16" ht="15.75" customHeight="1" x14ac:dyDescent="0.3">
      <c r="A49" s="2" t="s">
        <v>179</v>
      </c>
      <c r="B49" s="2">
        <v>798832</v>
      </c>
      <c r="C49" s="2" t="s">
        <v>180</v>
      </c>
      <c r="D49" s="2">
        <v>366996690919</v>
      </c>
      <c r="E49" s="2" t="s">
        <v>63</v>
      </c>
      <c r="F49" s="2" t="s">
        <v>64</v>
      </c>
      <c r="G49" s="2" t="s">
        <v>65</v>
      </c>
      <c r="H49" s="2" t="s">
        <v>20</v>
      </c>
      <c r="I49" s="2" t="s">
        <v>52</v>
      </c>
      <c r="J49" s="2">
        <v>228603.21</v>
      </c>
      <c r="K49" s="2" t="s">
        <v>31</v>
      </c>
      <c r="L49" s="3">
        <v>45128</v>
      </c>
      <c r="M49" s="2" t="s">
        <v>23</v>
      </c>
      <c r="N49" s="2">
        <v>430998.17</v>
      </c>
      <c r="O49" s="2" t="s">
        <v>24</v>
      </c>
      <c r="P49" t="str">
        <f>TEXT(Table1[[#This Row],[Transaction Date]],"mmm")</f>
        <v>Jul</v>
      </c>
    </row>
    <row r="50" spans="1:16" ht="15.75" customHeight="1" x14ac:dyDescent="0.3">
      <c r="A50" s="2" t="s">
        <v>181</v>
      </c>
      <c r="B50" s="2">
        <v>693194</v>
      </c>
      <c r="C50" s="2" t="s">
        <v>182</v>
      </c>
      <c r="D50" s="2">
        <v>715222997316</v>
      </c>
      <c r="E50" s="2" t="s">
        <v>27</v>
      </c>
      <c r="F50" s="2" t="s">
        <v>78</v>
      </c>
      <c r="G50" s="2" t="s">
        <v>79</v>
      </c>
      <c r="H50" s="2" t="s">
        <v>30</v>
      </c>
      <c r="I50" s="2" t="s">
        <v>52</v>
      </c>
      <c r="J50" s="2">
        <v>241180.65</v>
      </c>
      <c r="K50" s="2" t="s">
        <v>31</v>
      </c>
      <c r="L50" s="3">
        <v>45258</v>
      </c>
      <c r="M50" s="2" t="s">
        <v>23</v>
      </c>
      <c r="N50" s="2">
        <v>820338.34</v>
      </c>
      <c r="O50" s="2" t="s">
        <v>24</v>
      </c>
      <c r="P50" t="str">
        <f>TEXT(Table1[[#This Row],[Transaction Date]],"mmm")</f>
        <v>Nov</v>
      </c>
    </row>
    <row r="51" spans="1:16" ht="15.75" customHeight="1" x14ac:dyDescent="0.3">
      <c r="A51" s="2" t="s">
        <v>183</v>
      </c>
      <c r="B51" s="2">
        <v>178161</v>
      </c>
      <c r="C51" s="2" t="s">
        <v>184</v>
      </c>
      <c r="D51" s="2">
        <v>850425096741</v>
      </c>
      <c r="E51" s="2" t="s">
        <v>17</v>
      </c>
      <c r="F51" s="2" t="s">
        <v>55</v>
      </c>
      <c r="G51" s="2" t="s">
        <v>56</v>
      </c>
      <c r="H51" s="2" t="s">
        <v>69</v>
      </c>
      <c r="I51" s="2" t="s">
        <v>52</v>
      </c>
      <c r="J51" s="2">
        <v>181478.37</v>
      </c>
      <c r="K51" s="2" t="s">
        <v>22</v>
      </c>
      <c r="L51" s="3">
        <v>45259</v>
      </c>
      <c r="M51" s="2" t="s">
        <v>23</v>
      </c>
      <c r="N51" s="2">
        <v>1640818.48</v>
      </c>
      <c r="O51" s="2" t="s">
        <v>24</v>
      </c>
      <c r="P51" t="str">
        <f>TEXT(Table1[[#This Row],[Transaction Date]],"mmm")</f>
        <v>Nov</v>
      </c>
    </row>
    <row r="52" spans="1:16" ht="15.75" customHeight="1" x14ac:dyDescent="0.3">
      <c r="A52" s="2" t="s">
        <v>185</v>
      </c>
      <c r="B52" s="2">
        <v>945986</v>
      </c>
      <c r="C52" s="2" t="s">
        <v>186</v>
      </c>
      <c r="D52" s="2">
        <v>316273586448</v>
      </c>
      <c r="E52" s="2" t="s">
        <v>63</v>
      </c>
      <c r="F52" s="2" t="s">
        <v>64</v>
      </c>
      <c r="G52" s="2" t="s">
        <v>65</v>
      </c>
      <c r="H52" s="2" t="s">
        <v>66</v>
      </c>
      <c r="I52" s="2" t="s">
        <v>47</v>
      </c>
      <c r="J52" s="2">
        <v>273414.65999999997</v>
      </c>
      <c r="K52" s="2" t="s">
        <v>31</v>
      </c>
      <c r="L52" s="3">
        <v>45712</v>
      </c>
      <c r="M52" s="2" t="s">
        <v>167</v>
      </c>
      <c r="N52" s="2">
        <v>673253.87</v>
      </c>
      <c r="O52" s="2" t="s">
        <v>24</v>
      </c>
      <c r="P52" t="str">
        <f>TEXT(Table1[[#This Row],[Transaction Date]],"mmm")</f>
        <v>Feb</v>
      </c>
    </row>
    <row r="53" spans="1:16" ht="15.75" customHeight="1" x14ac:dyDescent="0.3">
      <c r="A53" s="2" t="s">
        <v>187</v>
      </c>
      <c r="B53" s="2">
        <v>969262</v>
      </c>
      <c r="C53" s="2" t="s">
        <v>188</v>
      </c>
      <c r="D53" s="2">
        <v>593004841860</v>
      </c>
      <c r="E53" s="2" t="s">
        <v>17</v>
      </c>
      <c r="F53" s="2" t="s">
        <v>55</v>
      </c>
      <c r="G53" s="2" t="s">
        <v>56</v>
      </c>
      <c r="H53" s="2" t="s">
        <v>69</v>
      </c>
      <c r="I53" s="2" t="s">
        <v>37</v>
      </c>
      <c r="J53" s="2">
        <v>17312.52</v>
      </c>
      <c r="K53" s="2" t="s">
        <v>22</v>
      </c>
      <c r="L53" s="3">
        <v>45798</v>
      </c>
      <c r="M53" s="2" t="s">
        <v>23</v>
      </c>
      <c r="N53" s="2">
        <v>988997.22</v>
      </c>
      <c r="O53" s="2" t="s">
        <v>178</v>
      </c>
      <c r="P53" t="str">
        <f>TEXT(Table1[[#This Row],[Transaction Date]],"mmm")</f>
        <v>May</v>
      </c>
    </row>
    <row r="54" spans="1:16" ht="15.75" customHeight="1" x14ac:dyDescent="0.3">
      <c r="A54" s="2" t="s">
        <v>189</v>
      </c>
      <c r="B54" s="2">
        <v>624419</v>
      </c>
      <c r="C54" s="2" t="s">
        <v>190</v>
      </c>
      <c r="D54" s="2">
        <v>315927510709</v>
      </c>
      <c r="E54" s="2" t="s">
        <v>27</v>
      </c>
      <c r="F54" s="2" t="s">
        <v>191</v>
      </c>
      <c r="G54" s="2" t="s">
        <v>192</v>
      </c>
      <c r="H54" s="2" t="s">
        <v>20</v>
      </c>
      <c r="I54" s="2" t="s">
        <v>21</v>
      </c>
      <c r="J54" s="2">
        <v>320272.01</v>
      </c>
      <c r="K54" s="2" t="s">
        <v>22</v>
      </c>
      <c r="L54" s="3">
        <v>45153</v>
      </c>
      <c r="M54" s="2" t="s">
        <v>23</v>
      </c>
      <c r="N54" s="2">
        <v>855697.4</v>
      </c>
      <c r="O54" s="2" t="s">
        <v>24</v>
      </c>
      <c r="P54" t="str">
        <f>TEXT(Table1[[#This Row],[Transaction Date]],"mmm")</f>
        <v>Aug</v>
      </c>
    </row>
    <row r="55" spans="1:16" ht="15.75" customHeight="1" x14ac:dyDescent="0.3">
      <c r="A55" s="2" t="s">
        <v>193</v>
      </c>
      <c r="B55" s="2">
        <v>690301</v>
      </c>
      <c r="C55" s="2" t="s">
        <v>194</v>
      </c>
      <c r="D55" s="2">
        <v>726575855284</v>
      </c>
      <c r="E55" s="2" t="s">
        <v>27</v>
      </c>
      <c r="F55" s="2" t="s">
        <v>78</v>
      </c>
      <c r="G55" s="2" t="s">
        <v>79</v>
      </c>
      <c r="H55" s="2" t="s">
        <v>30</v>
      </c>
      <c r="I55" s="2" t="s">
        <v>52</v>
      </c>
      <c r="J55" s="2">
        <v>72231.47</v>
      </c>
      <c r="K55" s="2" t="s">
        <v>48</v>
      </c>
      <c r="L55" s="3">
        <v>45492</v>
      </c>
      <c r="M55" s="2" t="s">
        <v>23</v>
      </c>
      <c r="N55" s="2">
        <v>1904363.29</v>
      </c>
      <c r="O55" s="2" t="s">
        <v>24</v>
      </c>
      <c r="P55" t="str">
        <f>TEXT(Table1[[#This Row],[Transaction Date]],"mmm")</f>
        <v>Jul</v>
      </c>
    </row>
    <row r="56" spans="1:16" ht="15.75" customHeight="1" x14ac:dyDescent="0.3">
      <c r="A56" s="2" t="s">
        <v>195</v>
      </c>
      <c r="B56" s="2">
        <v>247721</v>
      </c>
      <c r="C56" s="2" t="s">
        <v>196</v>
      </c>
      <c r="D56" s="2">
        <v>388988910146</v>
      </c>
      <c r="E56" s="2" t="s">
        <v>34</v>
      </c>
      <c r="F56" s="2" t="s">
        <v>72</v>
      </c>
      <c r="G56" s="2" t="s">
        <v>73</v>
      </c>
      <c r="H56" s="2" t="s">
        <v>20</v>
      </c>
      <c r="I56" s="2" t="s">
        <v>37</v>
      </c>
      <c r="J56" s="2">
        <v>27223.82</v>
      </c>
      <c r="K56" s="2" t="s">
        <v>31</v>
      </c>
      <c r="L56" s="3">
        <v>45595</v>
      </c>
      <c r="M56" s="2" t="s">
        <v>23</v>
      </c>
      <c r="N56" s="2">
        <v>1584338.01</v>
      </c>
      <c r="O56" s="2" t="s">
        <v>24</v>
      </c>
      <c r="P56" t="str">
        <f>TEXT(Table1[[#This Row],[Transaction Date]],"mmm")</f>
        <v>Oct</v>
      </c>
    </row>
    <row r="57" spans="1:16" ht="15.75" customHeight="1" x14ac:dyDescent="0.3">
      <c r="A57" s="2" t="s">
        <v>197</v>
      </c>
      <c r="B57" s="2">
        <v>752827</v>
      </c>
      <c r="C57" s="2" t="s">
        <v>198</v>
      </c>
      <c r="D57" s="2">
        <v>755637196899</v>
      </c>
      <c r="E57" s="2" t="s">
        <v>17</v>
      </c>
      <c r="F57" s="2" t="s">
        <v>45</v>
      </c>
      <c r="G57" s="2" t="s">
        <v>46</v>
      </c>
      <c r="H57" s="2" t="s">
        <v>20</v>
      </c>
      <c r="I57" s="2" t="s">
        <v>37</v>
      </c>
      <c r="J57" s="2">
        <v>94133.21</v>
      </c>
      <c r="K57" s="2" t="s">
        <v>22</v>
      </c>
      <c r="L57" s="3">
        <v>45804</v>
      </c>
      <c r="M57" s="2" t="s">
        <v>49</v>
      </c>
      <c r="N57" s="2">
        <v>545204.92000000004</v>
      </c>
      <c r="O57" s="2" t="s">
        <v>24</v>
      </c>
      <c r="P57" t="str">
        <f>TEXT(Table1[[#This Row],[Transaction Date]],"mmm")</f>
        <v>May</v>
      </c>
    </row>
    <row r="58" spans="1:16" ht="15.75" customHeight="1" x14ac:dyDescent="0.3">
      <c r="A58" s="2" t="s">
        <v>199</v>
      </c>
      <c r="B58" s="2">
        <v>407754</v>
      </c>
      <c r="C58" s="2" t="s">
        <v>200</v>
      </c>
      <c r="D58" s="2">
        <v>170246566065</v>
      </c>
      <c r="E58" s="2" t="s">
        <v>63</v>
      </c>
      <c r="F58" s="2" t="s">
        <v>176</v>
      </c>
      <c r="G58" s="2" t="s">
        <v>177</v>
      </c>
      <c r="H58" s="2" t="s">
        <v>66</v>
      </c>
      <c r="I58" s="2" t="s">
        <v>52</v>
      </c>
      <c r="J58" s="2">
        <v>176352.05</v>
      </c>
      <c r="K58" s="2" t="s">
        <v>31</v>
      </c>
      <c r="L58" s="3">
        <v>45662</v>
      </c>
      <c r="M58" s="2" t="s">
        <v>23</v>
      </c>
      <c r="N58" s="2">
        <v>1754863.47</v>
      </c>
      <c r="O58" s="2" t="s">
        <v>24</v>
      </c>
      <c r="P58" t="str">
        <f>TEXT(Table1[[#This Row],[Transaction Date]],"mmm")</f>
        <v>Jan</v>
      </c>
    </row>
    <row r="59" spans="1:16" ht="15.75" customHeight="1" x14ac:dyDescent="0.3">
      <c r="A59" s="2" t="s">
        <v>201</v>
      </c>
      <c r="B59" s="2">
        <v>567798</v>
      </c>
      <c r="C59" s="2" t="s">
        <v>202</v>
      </c>
      <c r="D59" s="2">
        <v>582149472587</v>
      </c>
      <c r="E59" s="2" t="s">
        <v>34</v>
      </c>
      <c r="F59" s="2" t="s">
        <v>72</v>
      </c>
      <c r="G59" s="2" t="s">
        <v>73</v>
      </c>
      <c r="H59" s="2" t="s">
        <v>66</v>
      </c>
      <c r="I59" s="2" t="s">
        <v>47</v>
      </c>
      <c r="J59" s="2">
        <v>125796.18</v>
      </c>
      <c r="K59" s="2" t="s">
        <v>48</v>
      </c>
      <c r="L59" s="3">
        <v>45518</v>
      </c>
      <c r="M59" s="2" t="s">
        <v>167</v>
      </c>
      <c r="N59" s="2">
        <v>310897.05</v>
      </c>
      <c r="O59" s="2" t="s">
        <v>24</v>
      </c>
      <c r="P59" t="str">
        <f>TEXT(Table1[[#This Row],[Transaction Date]],"mmm")</f>
        <v>Aug</v>
      </c>
    </row>
    <row r="60" spans="1:16" ht="15.75" customHeight="1" x14ac:dyDescent="0.3">
      <c r="A60" s="2" t="s">
        <v>203</v>
      </c>
      <c r="B60" s="2">
        <v>552695</v>
      </c>
      <c r="C60" s="2" t="s">
        <v>204</v>
      </c>
      <c r="D60" s="2">
        <v>604716561890</v>
      </c>
      <c r="E60" s="2" t="s">
        <v>17</v>
      </c>
      <c r="F60" s="2" t="s">
        <v>155</v>
      </c>
      <c r="G60" s="2" t="s">
        <v>156</v>
      </c>
      <c r="H60" s="2" t="s">
        <v>69</v>
      </c>
      <c r="I60" s="2" t="s">
        <v>52</v>
      </c>
      <c r="J60" s="2">
        <v>450326.06</v>
      </c>
      <c r="K60" s="2" t="s">
        <v>97</v>
      </c>
      <c r="L60" s="3">
        <v>45651</v>
      </c>
      <c r="M60" s="2" t="s">
        <v>23</v>
      </c>
      <c r="N60" s="2">
        <v>686226.5</v>
      </c>
      <c r="O60" s="2" t="s">
        <v>24</v>
      </c>
      <c r="P60" t="str">
        <f>TEXT(Table1[[#This Row],[Transaction Date]],"mmm")</f>
        <v>Dec</v>
      </c>
    </row>
    <row r="61" spans="1:16" ht="15.75" customHeight="1" x14ac:dyDescent="0.3">
      <c r="A61" s="2" t="s">
        <v>205</v>
      </c>
      <c r="B61" s="2">
        <v>683741</v>
      </c>
      <c r="C61" s="2" t="s">
        <v>206</v>
      </c>
      <c r="D61" s="2">
        <v>930540134859</v>
      </c>
      <c r="E61" s="2" t="s">
        <v>27</v>
      </c>
      <c r="F61" s="2" t="s">
        <v>191</v>
      </c>
      <c r="G61" s="2" t="s">
        <v>192</v>
      </c>
      <c r="H61" s="2" t="s">
        <v>69</v>
      </c>
      <c r="I61" s="2" t="s">
        <v>21</v>
      </c>
      <c r="J61" s="2">
        <v>511661.67</v>
      </c>
      <c r="K61" s="2" t="s">
        <v>31</v>
      </c>
      <c r="L61" s="3">
        <v>45415</v>
      </c>
      <c r="M61" s="2" t="s">
        <v>23</v>
      </c>
      <c r="N61" s="2">
        <v>613016.15</v>
      </c>
      <c r="O61" s="2" t="s">
        <v>24</v>
      </c>
      <c r="P61" t="str">
        <f>TEXT(Table1[[#This Row],[Transaction Date]],"mmm")</f>
        <v>May</v>
      </c>
    </row>
    <row r="62" spans="1:16" ht="15.75" customHeight="1" x14ac:dyDescent="0.3">
      <c r="A62" s="2" t="s">
        <v>207</v>
      </c>
      <c r="B62" s="2">
        <v>553618</v>
      </c>
      <c r="C62" s="2" t="s">
        <v>208</v>
      </c>
      <c r="D62" s="2">
        <v>667033396764</v>
      </c>
      <c r="E62" s="2" t="s">
        <v>17</v>
      </c>
      <c r="F62" s="2" t="s">
        <v>55</v>
      </c>
      <c r="G62" s="2" t="s">
        <v>56</v>
      </c>
      <c r="H62" s="2" t="s">
        <v>20</v>
      </c>
      <c r="I62" s="2" t="s">
        <v>52</v>
      </c>
      <c r="J62" s="2">
        <v>188748.49</v>
      </c>
      <c r="K62" s="2" t="s">
        <v>31</v>
      </c>
      <c r="L62" s="3">
        <v>45698</v>
      </c>
      <c r="M62" s="2" t="s">
        <v>23</v>
      </c>
      <c r="N62" s="2">
        <v>631156.77</v>
      </c>
      <c r="O62" s="2" t="s">
        <v>24</v>
      </c>
      <c r="P62" t="str">
        <f>TEXT(Table1[[#This Row],[Transaction Date]],"mmm")</f>
        <v>Feb</v>
      </c>
    </row>
    <row r="63" spans="1:16" ht="15.75" customHeight="1" x14ac:dyDescent="0.3">
      <c r="A63" s="2" t="s">
        <v>209</v>
      </c>
      <c r="B63" s="2">
        <v>883947</v>
      </c>
      <c r="C63" s="2" t="s">
        <v>210</v>
      </c>
      <c r="D63" s="2">
        <v>261079556384</v>
      </c>
      <c r="E63" s="2" t="s">
        <v>63</v>
      </c>
      <c r="F63" s="2" t="s">
        <v>176</v>
      </c>
      <c r="G63" s="2" t="s">
        <v>177</v>
      </c>
      <c r="H63" s="2" t="s">
        <v>30</v>
      </c>
      <c r="I63" s="2" t="s">
        <v>52</v>
      </c>
      <c r="J63" s="2">
        <v>336060.86</v>
      </c>
      <c r="K63" s="2" t="s">
        <v>48</v>
      </c>
      <c r="L63" s="3">
        <v>45581</v>
      </c>
      <c r="M63" s="2" t="s">
        <v>23</v>
      </c>
      <c r="N63" s="2">
        <v>501511.86</v>
      </c>
      <c r="O63" s="2" t="s">
        <v>24</v>
      </c>
      <c r="P63" t="str">
        <f>TEXT(Table1[[#This Row],[Transaction Date]],"mmm")</f>
        <v>Oct</v>
      </c>
    </row>
    <row r="64" spans="1:16" ht="15.75" customHeight="1" x14ac:dyDescent="0.3">
      <c r="A64" s="2" t="s">
        <v>211</v>
      </c>
      <c r="B64" s="2">
        <v>561029</v>
      </c>
      <c r="C64" s="2" t="s">
        <v>212</v>
      </c>
      <c r="D64" s="2">
        <v>160461931506</v>
      </c>
      <c r="E64" s="2" t="s">
        <v>63</v>
      </c>
      <c r="F64" s="2" t="s">
        <v>64</v>
      </c>
      <c r="G64" s="2" t="s">
        <v>65</v>
      </c>
      <c r="H64" s="2" t="s">
        <v>30</v>
      </c>
      <c r="I64" s="2" t="s">
        <v>37</v>
      </c>
      <c r="J64" s="2">
        <v>62046.95</v>
      </c>
      <c r="K64" s="2" t="s">
        <v>97</v>
      </c>
      <c r="L64" s="3">
        <v>45666</v>
      </c>
      <c r="M64" s="2" t="s">
        <v>167</v>
      </c>
      <c r="N64" s="2">
        <v>375954.72</v>
      </c>
      <c r="O64" s="2" t="s">
        <v>24</v>
      </c>
      <c r="P64" t="str">
        <f>TEXT(Table1[[#This Row],[Transaction Date]],"mmm")</f>
        <v>Jan</v>
      </c>
    </row>
    <row r="65" spans="1:16" ht="15.75" customHeight="1" x14ac:dyDescent="0.3">
      <c r="A65" s="2" t="s">
        <v>213</v>
      </c>
      <c r="B65" s="2">
        <v>123451</v>
      </c>
      <c r="C65" s="2" t="s">
        <v>214</v>
      </c>
      <c r="D65" s="2">
        <v>775194651628</v>
      </c>
      <c r="E65" s="2" t="s">
        <v>27</v>
      </c>
      <c r="F65" s="2" t="s">
        <v>215</v>
      </c>
      <c r="G65" s="2" t="s">
        <v>216</v>
      </c>
      <c r="H65" s="2" t="s">
        <v>66</v>
      </c>
      <c r="I65" s="2" t="s">
        <v>47</v>
      </c>
      <c r="J65" s="2">
        <v>186460.63</v>
      </c>
      <c r="K65" s="2" t="s">
        <v>38</v>
      </c>
      <c r="L65" s="3">
        <v>45357</v>
      </c>
      <c r="M65" s="2" t="s">
        <v>112</v>
      </c>
      <c r="N65" s="2">
        <v>687831.58000000007</v>
      </c>
      <c r="O65" s="2" t="s">
        <v>24</v>
      </c>
      <c r="P65" t="str">
        <f>TEXT(Table1[[#This Row],[Transaction Date]],"mmm")</f>
        <v>Mar</v>
      </c>
    </row>
    <row r="66" spans="1:16" ht="15.75" customHeight="1" x14ac:dyDescent="0.3">
      <c r="A66" s="2" t="s">
        <v>217</v>
      </c>
      <c r="B66" s="2">
        <v>932665</v>
      </c>
      <c r="C66" s="2" t="s">
        <v>218</v>
      </c>
      <c r="D66" s="2">
        <v>684612790738</v>
      </c>
      <c r="E66" s="2" t="s">
        <v>27</v>
      </c>
      <c r="F66" s="2" t="s">
        <v>215</v>
      </c>
      <c r="G66" s="2" t="s">
        <v>216</v>
      </c>
      <c r="H66" s="2" t="s">
        <v>20</v>
      </c>
      <c r="I66" s="2" t="s">
        <v>47</v>
      </c>
      <c r="J66" s="2">
        <v>10454.32</v>
      </c>
      <c r="K66" s="2" t="s">
        <v>97</v>
      </c>
      <c r="L66" s="3">
        <v>45475</v>
      </c>
      <c r="M66" s="2" t="s">
        <v>23</v>
      </c>
      <c r="N66" s="2">
        <v>167674.6</v>
      </c>
      <c r="O66" s="2" t="s">
        <v>24</v>
      </c>
      <c r="P66" t="str">
        <f>TEXT(Table1[[#This Row],[Transaction Date]],"mmm")</f>
        <v>Jul</v>
      </c>
    </row>
    <row r="67" spans="1:16" ht="15.75" customHeight="1" x14ac:dyDescent="0.3">
      <c r="A67" s="2" t="s">
        <v>219</v>
      </c>
      <c r="B67" s="2">
        <v>105013</v>
      </c>
      <c r="C67" s="2" t="s">
        <v>220</v>
      </c>
      <c r="D67" s="2">
        <v>244696373610</v>
      </c>
      <c r="E67" s="2" t="s">
        <v>63</v>
      </c>
      <c r="F67" s="2" t="s">
        <v>145</v>
      </c>
      <c r="G67" s="2" t="s">
        <v>146</v>
      </c>
      <c r="H67" s="2" t="s">
        <v>30</v>
      </c>
      <c r="I67" s="2" t="s">
        <v>52</v>
      </c>
      <c r="J67" s="2">
        <v>207043.55</v>
      </c>
      <c r="K67" s="2" t="s">
        <v>48</v>
      </c>
      <c r="L67" s="3">
        <v>45569</v>
      </c>
      <c r="M67" s="2" t="s">
        <v>23</v>
      </c>
      <c r="N67" s="2">
        <v>1957746.55</v>
      </c>
      <c r="O67" s="2" t="s">
        <v>24</v>
      </c>
      <c r="P67" t="str">
        <f>TEXT(Table1[[#This Row],[Transaction Date]],"mmm")</f>
        <v>Oct</v>
      </c>
    </row>
    <row r="68" spans="1:16" ht="15.75" customHeight="1" x14ac:dyDescent="0.3">
      <c r="A68" s="2" t="s">
        <v>221</v>
      </c>
      <c r="B68" s="2">
        <v>876150</v>
      </c>
      <c r="C68" s="2" t="s">
        <v>222</v>
      </c>
      <c r="D68" s="2">
        <v>232180677568</v>
      </c>
      <c r="E68" s="2" t="s">
        <v>63</v>
      </c>
      <c r="F68" s="2" t="s">
        <v>145</v>
      </c>
      <c r="G68" s="2" t="s">
        <v>146</v>
      </c>
      <c r="H68" s="2" t="s">
        <v>30</v>
      </c>
      <c r="I68" s="2" t="s">
        <v>47</v>
      </c>
      <c r="J68" s="2">
        <v>2685.68</v>
      </c>
      <c r="K68" s="2" t="s">
        <v>97</v>
      </c>
      <c r="L68" s="3">
        <v>45642</v>
      </c>
      <c r="M68" s="2" t="s">
        <v>23</v>
      </c>
      <c r="N68" s="2">
        <v>1087487.46</v>
      </c>
      <c r="O68" s="2" t="s">
        <v>24</v>
      </c>
      <c r="P68" t="str">
        <f>TEXT(Table1[[#This Row],[Transaction Date]],"mmm")</f>
        <v>Dec</v>
      </c>
    </row>
    <row r="69" spans="1:16" ht="15.75" customHeight="1" x14ac:dyDescent="0.3">
      <c r="A69" s="2" t="s">
        <v>223</v>
      </c>
      <c r="B69" s="2">
        <v>897276</v>
      </c>
      <c r="C69" s="2" t="s">
        <v>224</v>
      </c>
      <c r="D69" s="2">
        <v>189711713821</v>
      </c>
      <c r="E69" s="2" t="s">
        <v>17</v>
      </c>
      <c r="F69" s="2" t="s">
        <v>18</v>
      </c>
      <c r="G69" s="2" t="s">
        <v>19</v>
      </c>
      <c r="H69" s="2" t="s">
        <v>30</v>
      </c>
      <c r="I69" s="2" t="s">
        <v>37</v>
      </c>
      <c r="J69" s="2">
        <v>86872.7</v>
      </c>
      <c r="K69" s="2" t="s">
        <v>22</v>
      </c>
      <c r="L69" s="3">
        <v>45266</v>
      </c>
      <c r="M69" s="2" t="s">
        <v>23</v>
      </c>
      <c r="N69" s="2">
        <v>1480230.05</v>
      </c>
      <c r="O69" s="2" t="s">
        <v>24</v>
      </c>
      <c r="P69" t="str">
        <f>TEXT(Table1[[#This Row],[Transaction Date]],"mmm")</f>
        <v>Dec</v>
      </c>
    </row>
    <row r="70" spans="1:16" ht="15.75" customHeight="1" x14ac:dyDescent="0.3">
      <c r="A70" s="2" t="s">
        <v>225</v>
      </c>
      <c r="B70" s="2">
        <v>817632</v>
      </c>
      <c r="C70" s="2" t="s">
        <v>226</v>
      </c>
      <c r="D70" s="2">
        <v>414860744072</v>
      </c>
      <c r="E70" s="2" t="s">
        <v>90</v>
      </c>
      <c r="F70" s="2" t="s">
        <v>161</v>
      </c>
      <c r="G70" s="2" t="s">
        <v>162</v>
      </c>
      <c r="H70" s="2" t="s">
        <v>30</v>
      </c>
      <c r="I70" s="2" t="s">
        <v>47</v>
      </c>
      <c r="J70" s="2">
        <v>254430.23</v>
      </c>
      <c r="K70" s="2" t="s">
        <v>38</v>
      </c>
      <c r="L70" s="3">
        <v>45286</v>
      </c>
      <c r="M70" s="2" t="s">
        <v>167</v>
      </c>
      <c r="N70" s="2">
        <v>506011.52</v>
      </c>
      <c r="O70" s="2" t="s">
        <v>24</v>
      </c>
      <c r="P70" t="str">
        <f>TEXT(Table1[[#This Row],[Transaction Date]],"mmm")</f>
        <v>Dec</v>
      </c>
    </row>
    <row r="71" spans="1:16" ht="15.75" customHeight="1" x14ac:dyDescent="0.3">
      <c r="A71" s="2" t="s">
        <v>227</v>
      </c>
      <c r="B71" s="2">
        <v>910508</v>
      </c>
      <c r="C71" s="2" t="s">
        <v>228</v>
      </c>
      <c r="D71" s="2">
        <v>726091926541</v>
      </c>
      <c r="E71" s="2" t="s">
        <v>27</v>
      </c>
      <c r="F71" s="2" t="s">
        <v>78</v>
      </c>
      <c r="G71" s="2" t="s">
        <v>79</v>
      </c>
      <c r="H71" s="2" t="s">
        <v>66</v>
      </c>
      <c r="I71" s="2" t="s">
        <v>37</v>
      </c>
      <c r="J71" s="2">
        <v>2142.71</v>
      </c>
      <c r="K71" s="2" t="s">
        <v>22</v>
      </c>
      <c r="L71" s="3">
        <v>45453</v>
      </c>
      <c r="M71" s="2" t="s">
        <v>23</v>
      </c>
      <c r="N71" s="2">
        <v>175635.71</v>
      </c>
      <c r="O71" s="2" t="s">
        <v>24</v>
      </c>
      <c r="P71" t="str">
        <f>TEXT(Table1[[#This Row],[Transaction Date]],"mmm")</f>
        <v>Jun</v>
      </c>
    </row>
    <row r="72" spans="1:16" ht="15.75" customHeight="1" x14ac:dyDescent="0.3">
      <c r="A72" s="2" t="s">
        <v>229</v>
      </c>
      <c r="B72" s="2">
        <v>651220</v>
      </c>
      <c r="C72" s="2" t="s">
        <v>230</v>
      </c>
      <c r="D72" s="2">
        <v>260561696809</v>
      </c>
      <c r="E72" s="2" t="s">
        <v>27</v>
      </c>
      <c r="F72" s="2" t="s">
        <v>28</v>
      </c>
      <c r="G72" s="2" t="s">
        <v>29</v>
      </c>
      <c r="H72" s="2" t="s">
        <v>66</v>
      </c>
      <c r="I72" s="2" t="s">
        <v>37</v>
      </c>
      <c r="J72" s="2">
        <v>126982.03</v>
      </c>
      <c r="K72" s="2" t="s">
        <v>97</v>
      </c>
      <c r="L72" s="3">
        <v>45710</v>
      </c>
      <c r="M72" s="2" t="s">
        <v>23</v>
      </c>
      <c r="N72" s="2">
        <v>579930.85</v>
      </c>
      <c r="O72" s="2" t="s">
        <v>24</v>
      </c>
      <c r="P72" t="str">
        <f>TEXT(Table1[[#This Row],[Transaction Date]],"mmm")</f>
        <v>Feb</v>
      </c>
    </row>
    <row r="73" spans="1:16" ht="15.75" customHeight="1" x14ac:dyDescent="0.3">
      <c r="A73" s="2" t="s">
        <v>231</v>
      </c>
      <c r="B73" s="2">
        <v>820049</v>
      </c>
      <c r="C73" s="2" t="s">
        <v>232</v>
      </c>
      <c r="D73" s="2">
        <v>939671397979</v>
      </c>
      <c r="E73" s="2" t="s">
        <v>34</v>
      </c>
      <c r="F73" s="2" t="s">
        <v>135</v>
      </c>
      <c r="G73" s="2" t="s">
        <v>136</v>
      </c>
      <c r="H73" s="2" t="s">
        <v>66</v>
      </c>
      <c r="I73" s="2" t="s">
        <v>52</v>
      </c>
      <c r="J73" s="2">
        <v>42148.13</v>
      </c>
      <c r="K73" s="2" t="s">
        <v>48</v>
      </c>
      <c r="L73" s="3">
        <v>45601</v>
      </c>
      <c r="M73" s="2" t="s">
        <v>23</v>
      </c>
      <c r="N73" s="2">
        <v>2030256.51</v>
      </c>
      <c r="O73" s="2" t="s">
        <v>24</v>
      </c>
      <c r="P73" t="str">
        <f>TEXT(Table1[[#This Row],[Transaction Date]],"mmm")</f>
        <v>Nov</v>
      </c>
    </row>
    <row r="74" spans="1:16" ht="15.75" customHeight="1" x14ac:dyDescent="0.3">
      <c r="A74" s="2" t="s">
        <v>233</v>
      </c>
      <c r="B74" s="2">
        <v>679021</v>
      </c>
      <c r="C74" s="2" t="s">
        <v>234</v>
      </c>
      <c r="D74" s="2">
        <v>721091509137</v>
      </c>
      <c r="E74" s="2" t="s">
        <v>34</v>
      </c>
      <c r="F74" s="2" t="s">
        <v>72</v>
      </c>
      <c r="G74" s="2" t="s">
        <v>73</v>
      </c>
      <c r="H74" s="2" t="s">
        <v>20</v>
      </c>
      <c r="I74" s="2" t="s">
        <v>52</v>
      </c>
      <c r="J74" s="2">
        <v>394326.09</v>
      </c>
      <c r="K74" s="2" t="s">
        <v>22</v>
      </c>
      <c r="L74" s="3">
        <v>45222</v>
      </c>
      <c r="M74" s="2" t="s">
        <v>23</v>
      </c>
      <c r="N74" s="2">
        <v>1896600.3</v>
      </c>
      <c r="O74" s="2" t="s">
        <v>24</v>
      </c>
      <c r="P74" t="str">
        <f>TEXT(Table1[[#This Row],[Transaction Date]],"mmm")</f>
        <v>Oct</v>
      </c>
    </row>
    <row r="75" spans="1:16" ht="15.75" customHeight="1" x14ac:dyDescent="0.3">
      <c r="A75" s="2" t="s">
        <v>235</v>
      </c>
      <c r="B75" s="2">
        <v>256851</v>
      </c>
      <c r="C75" s="2" t="s">
        <v>236</v>
      </c>
      <c r="D75" s="2">
        <v>174251495558</v>
      </c>
      <c r="E75" s="2" t="s">
        <v>90</v>
      </c>
      <c r="F75" s="2" t="s">
        <v>129</v>
      </c>
      <c r="G75" s="2" t="s">
        <v>130</v>
      </c>
      <c r="H75" s="2" t="s">
        <v>69</v>
      </c>
      <c r="I75" s="2" t="s">
        <v>37</v>
      </c>
      <c r="J75" s="2">
        <v>111775.28</v>
      </c>
      <c r="K75" s="2" t="s">
        <v>97</v>
      </c>
      <c r="L75" s="3">
        <v>45529</v>
      </c>
      <c r="M75" s="2" t="s">
        <v>167</v>
      </c>
      <c r="N75" s="2">
        <v>1569398.54</v>
      </c>
      <c r="O75" s="2" t="s">
        <v>24</v>
      </c>
      <c r="P75" t="str">
        <f>TEXT(Table1[[#This Row],[Transaction Date]],"mmm")</f>
        <v>Aug</v>
      </c>
    </row>
    <row r="76" spans="1:16" ht="15.75" customHeight="1" x14ac:dyDescent="0.3">
      <c r="A76" s="2" t="s">
        <v>237</v>
      </c>
      <c r="B76" s="2">
        <v>761621</v>
      </c>
      <c r="C76" s="2" t="s">
        <v>238</v>
      </c>
      <c r="D76" s="2">
        <v>335715085702</v>
      </c>
      <c r="E76" s="2" t="s">
        <v>34</v>
      </c>
      <c r="F76" s="2" t="s">
        <v>59</v>
      </c>
      <c r="G76" s="2" t="s">
        <v>60</v>
      </c>
      <c r="H76" s="2" t="s">
        <v>66</v>
      </c>
      <c r="I76" s="2" t="s">
        <v>47</v>
      </c>
      <c r="J76" s="2">
        <v>108963.54</v>
      </c>
      <c r="K76" s="2" t="s">
        <v>31</v>
      </c>
      <c r="L76" s="3">
        <v>45761</v>
      </c>
      <c r="M76" s="2" t="s">
        <v>23</v>
      </c>
      <c r="N76" s="2">
        <v>222485.48</v>
      </c>
      <c r="O76" s="2" t="s">
        <v>24</v>
      </c>
      <c r="P76" t="str">
        <f>TEXT(Table1[[#This Row],[Transaction Date]],"mmm")</f>
        <v>Apr</v>
      </c>
    </row>
    <row r="77" spans="1:16" ht="15.75" customHeight="1" x14ac:dyDescent="0.3">
      <c r="A77" s="2" t="s">
        <v>239</v>
      </c>
      <c r="B77" s="2">
        <v>615769</v>
      </c>
      <c r="C77" s="2" t="s">
        <v>240</v>
      </c>
      <c r="D77" s="2">
        <v>407129016960</v>
      </c>
      <c r="E77" s="2" t="s">
        <v>90</v>
      </c>
      <c r="F77" s="2" t="s">
        <v>161</v>
      </c>
      <c r="G77" s="2" t="s">
        <v>162</v>
      </c>
      <c r="H77" s="2" t="s">
        <v>30</v>
      </c>
      <c r="I77" s="2" t="s">
        <v>52</v>
      </c>
      <c r="J77" s="2">
        <v>5467.69</v>
      </c>
      <c r="K77" s="2" t="s">
        <v>38</v>
      </c>
      <c r="L77" s="3">
        <v>45518</v>
      </c>
      <c r="M77" s="2" t="s">
        <v>23</v>
      </c>
      <c r="N77" s="2">
        <v>300060.15000000002</v>
      </c>
      <c r="O77" s="2" t="s">
        <v>24</v>
      </c>
      <c r="P77" t="str">
        <f>TEXT(Table1[[#This Row],[Transaction Date]],"mmm")</f>
        <v>Aug</v>
      </c>
    </row>
    <row r="78" spans="1:16" ht="15.75" customHeight="1" x14ac:dyDescent="0.3">
      <c r="A78" s="2" t="s">
        <v>241</v>
      </c>
      <c r="B78" s="2">
        <v>964477</v>
      </c>
      <c r="C78" s="2" t="s">
        <v>242</v>
      </c>
      <c r="D78" s="2">
        <v>273078175564</v>
      </c>
      <c r="E78" s="2" t="s">
        <v>63</v>
      </c>
      <c r="F78" s="2" t="s">
        <v>145</v>
      </c>
      <c r="G78" s="2" t="s">
        <v>146</v>
      </c>
      <c r="H78" s="2" t="s">
        <v>66</v>
      </c>
      <c r="I78" s="2" t="s">
        <v>47</v>
      </c>
      <c r="J78" s="2">
        <v>77594.36</v>
      </c>
      <c r="K78" s="2" t="s">
        <v>22</v>
      </c>
      <c r="L78" s="3">
        <v>45170</v>
      </c>
      <c r="M78" s="2" t="s">
        <v>23</v>
      </c>
      <c r="N78" s="2">
        <v>1469822.53</v>
      </c>
      <c r="O78" s="2" t="s">
        <v>24</v>
      </c>
      <c r="P78" t="str">
        <f>TEXT(Table1[[#This Row],[Transaction Date]],"mmm")</f>
        <v>Sep</v>
      </c>
    </row>
    <row r="79" spans="1:16" ht="15.75" customHeight="1" x14ac:dyDescent="0.3">
      <c r="A79" s="2" t="s">
        <v>243</v>
      </c>
      <c r="B79" s="2">
        <v>619316</v>
      </c>
      <c r="C79" s="2" t="s">
        <v>244</v>
      </c>
      <c r="D79" s="2">
        <v>921865469550</v>
      </c>
      <c r="E79" s="2" t="s">
        <v>17</v>
      </c>
      <c r="F79" s="2" t="s">
        <v>18</v>
      </c>
      <c r="G79" s="2" t="s">
        <v>19</v>
      </c>
      <c r="H79" s="2" t="s">
        <v>69</v>
      </c>
      <c r="I79" s="2" t="s">
        <v>37</v>
      </c>
      <c r="J79" s="2">
        <v>130332.95</v>
      </c>
      <c r="K79" s="2" t="s">
        <v>97</v>
      </c>
      <c r="L79" s="3">
        <v>45250</v>
      </c>
      <c r="M79" s="2" t="s">
        <v>23</v>
      </c>
      <c r="N79" s="2">
        <v>202394.12</v>
      </c>
      <c r="O79" s="2" t="s">
        <v>24</v>
      </c>
      <c r="P79" t="str">
        <f>TEXT(Table1[[#This Row],[Transaction Date]],"mmm")</f>
        <v>Nov</v>
      </c>
    </row>
    <row r="80" spans="1:16" ht="15.75" customHeight="1" x14ac:dyDescent="0.3">
      <c r="A80" s="2" t="s">
        <v>245</v>
      </c>
      <c r="B80" s="2">
        <v>258410</v>
      </c>
      <c r="C80" s="2" t="s">
        <v>246</v>
      </c>
      <c r="D80" s="2">
        <v>668697508911</v>
      </c>
      <c r="E80" s="2" t="s">
        <v>17</v>
      </c>
      <c r="F80" s="2" t="s">
        <v>86</v>
      </c>
      <c r="G80" s="2" t="s">
        <v>87</v>
      </c>
      <c r="H80" s="2" t="s">
        <v>30</v>
      </c>
      <c r="I80" s="2" t="s">
        <v>52</v>
      </c>
      <c r="J80" s="2">
        <v>431597.82</v>
      </c>
      <c r="K80" s="2" t="s">
        <v>22</v>
      </c>
      <c r="L80" s="3">
        <v>45281</v>
      </c>
      <c r="M80" s="2" t="s">
        <v>23</v>
      </c>
      <c r="N80" s="2">
        <v>2153343.14</v>
      </c>
      <c r="O80" s="2" t="s">
        <v>24</v>
      </c>
      <c r="P80" t="str">
        <f>TEXT(Table1[[#This Row],[Transaction Date]],"mmm")</f>
        <v>Dec</v>
      </c>
    </row>
    <row r="81" spans="1:16" ht="15.75" customHeight="1" x14ac:dyDescent="0.3">
      <c r="A81" s="2" t="s">
        <v>247</v>
      </c>
      <c r="B81" s="2">
        <v>683367</v>
      </c>
      <c r="C81" s="2" t="s">
        <v>248</v>
      </c>
      <c r="D81" s="2">
        <v>982009733970</v>
      </c>
      <c r="E81" s="2" t="s">
        <v>90</v>
      </c>
      <c r="F81" s="2" t="s">
        <v>129</v>
      </c>
      <c r="G81" s="2" t="s">
        <v>130</v>
      </c>
      <c r="H81" s="2" t="s">
        <v>30</v>
      </c>
      <c r="I81" s="2" t="s">
        <v>21</v>
      </c>
      <c r="J81" s="2">
        <v>329340.40999999997</v>
      </c>
      <c r="K81" s="2" t="s">
        <v>31</v>
      </c>
      <c r="L81" s="3">
        <v>45245</v>
      </c>
      <c r="M81" s="2" t="s">
        <v>23</v>
      </c>
      <c r="N81" s="2">
        <v>1368075.07</v>
      </c>
      <c r="O81" s="2" t="s">
        <v>24</v>
      </c>
      <c r="P81" t="str">
        <f>TEXT(Table1[[#This Row],[Transaction Date]],"mmm")</f>
        <v>Nov</v>
      </c>
    </row>
    <row r="82" spans="1:16" ht="15.75" customHeight="1" x14ac:dyDescent="0.3">
      <c r="A82" s="2" t="s">
        <v>249</v>
      </c>
      <c r="B82" s="2">
        <v>685188</v>
      </c>
      <c r="C82" s="2" t="s">
        <v>250</v>
      </c>
      <c r="D82" s="2">
        <v>440841637325</v>
      </c>
      <c r="E82" s="2" t="s">
        <v>90</v>
      </c>
      <c r="F82" s="2" t="s">
        <v>108</v>
      </c>
      <c r="G82" s="2" t="s">
        <v>109</v>
      </c>
      <c r="H82" s="2" t="s">
        <v>30</v>
      </c>
      <c r="I82" s="2" t="s">
        <v>47</v>
      </c>
      <c r="J82" s="2">
        <v>230671.33</v>
      </c>
      <c r="K82" s="2" t="s">
        <v>97</v>
      </c>
      <c r="L82" s="3">
        <v>45732</v>
      </c>
      <c r="M82" s="2" t="s">
        <v>23</v>
      </c>
      <c r="N82" s="2">
        <v>793311.08</v>
      </c>
      <c r="O82" s="2" t="s">
        <v>24</v>
      </c>
      <c r="P82" t="str">
        <f>TEXT(Table1[[#This Row],[Transaction Date]],"mmm")</f>
        <v>Mar</v>
      </c>
    </row>
    <row r="83" spans="1:16" ht="15.75" customHeight="1" x14ac:dyDescent="0.3">
      <c r="A83" s="2" t="s">
        <v>251</v>
      </c>
      <c r="B83" s="2">
        <v>861387</v>
      </c>
      <c r="C83" s="2" t="s">
        <v>252</v>
      </c>
      <c r="D83" s="2">
        <v>206376466987</v>
      </c>
      <c r="E83" s="2" t="s">
        <v>34</v>
      </c>
      <c r="F83" s="2" t="s">
        <v>72</v>
      </c>
      <c r="G83" s="2" t="s">
        <v>73</v>
      </c>
      <c r="H83" s="2" t="s">
        <v>66</v>
      </c>
      <c r="I83" s="2" t="s">
        <v>47</v>
      </c>
      <c r="J83" s="2">
        <v>151847.43</v>
      </c>
      <c r="K83" s="2" t="s">
        <v>97</v>
      </c>
      <c r="L83" s="3">
        <v>45408</v>
      </c>
      <c r="M83" s="2" t="s">
        <v>112</v>
      </c>
      <c r="N83" s="2">
        <v>245310.82</v>
      </c>
      <c r="O83" s="2" t="s">
        <v>24</v>
      </c>
      <c r="P83" t="str">
        <f>TEXT(Table1[[#This Row],[Transaction Date]],"mmm")</f>
        <v>Apr</v>
      </c>
    </row>
    <row r="84" spans="1:16" ht="15.75" customHeight="1" x14ac:dyDescent="0.3">
      <c r="A84" s="2" t="s">
        <v>253</v>
      </c>
      <c r="B84" s="2">
        <v>294793</v>
      </c>
      <c r="C84" s="2" t="s">
        <v>254</v>
      </c>
      <c r="D84" s="2">
        <v>396259742856</v>
      </c>
      <c r="E84" s="2" t="s">
        <v>63</v>
      </c>
      <c r="F84" s="2" t="s">
        <v>145</v>
      </c>
      <c r="G84" s="2" t="s">
        <v>146</v>
      </c>
      <c r="H84" s="2" t="s">
        <v>20</v>
      </c>
      <c r="I84" s="2" t="s">
        <v>47</v>
      </c>
      <c r="J84" s="2">
        <v>43912.42</v>
      </c>
      <c r="K84" s="2" t="s">
        <v>22</v>
      </c>
      <c r="L84" s="3">
        <v>45768</v>
      </c>
      <c r="M84" s="2" t="s">
        <v>23</v>
      </c>
      <c r="N84" s="2">
        <v>720514.71000000008</v>
      </c>
      <c r="O84" s="2" t="s">
        <v>24</v>
      </c>
      <c r="P84" t="str">
        <f>TEXT(Table1[[#This Row],[Transaction Date]],"mmm")</f>
        <v>Apr</v>
      </c>
    </row>
    <row r="85" spans="1:16" ht="15.75" customHeight="1" x14ac:dyDescent="0.3">
      <c r="A85" s="2" t="s">
        <v>255</v>
      </c>
      <c r="B85" s="2">
        <v>163591</v>
      </c>
      <c r="C85" s="2" t="s">
        <v>256</v>
      </c>
      <c r="D85" s="2">
        <v>643282698177</v>
      </c>
      <c r="E85" s="2" t="s">
        <v>63</v>
      </c>
      <c r="F85" s="2" t="s">
        <v>176</v>
      </c>
      <c r="G85" s="2" t="s">
        <v>177</v>
      </c>
      <c r="H85" s="2" t="s">
        <v>20</v>
      </c>
      <c r="I85" s="2" t="s">
        <v>47</v>
      </c>
      <c r="J85" s="2">
        <v>259387.62</v>
      </c>
      <c r="K85" s="2" t="s">
        <v>38</v>
      </c>
      <c r="L85" s="3">
        <v>45280</v>
      </c>
      <c r="M85" s="2" t="s">
        <v>23</v>
      </c>
      <c r="N85" s="2">
        <v>1341143.01</v>
      </c>
      <c r="O85" s="2" t="s">
        <v>24</v>
      </c>
      <c r="P85" t="str">
        <f>TEXT(Table1[[#This Row],[Transaction Date]],"mmm")</f>
        <v>Dec</v>
      </c>
    </row>
    <row r="86" spans="1:16" ht="15.75" customHeight="1" x14ac:dyDescent="0.3">
      <c r="A86" s="2" t="s">
        <v>257</v>
      </c>
      <c r="B86" s="2">
        <v>999369</v>
      </c>
      <c r="C86" s="2" t="s">
        <v>258</v>
      </c>
      <c r="D86" s="2">
        <v>693909368952</v>
      </c>
      <c r="E86" s="2" t="s">
        <v>34</v>
      </c>
      <c r="F86" s="2" t="s">
        <v>72</v>
      </c>
      <c r="G86" s="2" t="s">
        <v>73</v>
      </c>
      <c r="H86" s="2" t="s">
        <v>66</v>
      </c>
      <c r="I86" s="2" t="s">
        <v>37</v>
      </c>
      <c r="J86" s="2">
        <v>113984.02</v>
      </c>
      <c r="K86" s="2" t="s">
        <v>48</v>
      </c>
      <c r="L86" s="3">
        <v>45567</v>
      </c>
      <c r="M86" s="2" t="s">
        <v>23</v>
      </c>
      <c r="N86" s="2">
        <v>1568873.7</v>
      </c>
      <c r="O86" s="2" t="s">
        <v>178</v>
      </c>
      <c r="P86" t="str">
        <f>TEXT(Table1[[#This Row],[Transaction Date]],"mmm")</f>
        <v>Oct</v>
      </c>
    </row>
    <row r="87" spans="1:16" ht="15.75" customHeight="1" x14ac:dyDescent="0.3">
      <c r="A87" s="2" t="s">
        <v>259</v>
      </c>
      <c r="B87" s="2">
        <v>436075</v>
      </c>
      <c r="C87" s="2" t="s">
        <v>260</v>
      </c>
      <c r="D87" s="2">
        <v>405209357833</v>
      </c>
      <c r="E87" s="2" t="s">
        <v>27</v>
      </c>
      <c r="F87" s="2" t="s">
        <v>28</v>
      </c>
      <c r="G87" s="2" t="s">
        <v>29</v>
      </c>
      <c r="H87" s="2" t="s">
        <v>30</v>
      </c>
      <c r="I87" s="2" t="s">
        <v>52</v>
      </c>
      <c r="J87" s="2">
        <v>25673.64</v>
      </c>
      <c r="K87" s="2" t="s">
        <v>38</v>
      </c>
      <c r="L87" s="3">
        <v>45475</v>
      </c>
      <c r="M87" s="2" t="s">
        <v>23</v>
      </c>
      <c r="N87" s="2">
        <v>231828.22</v>
      </c>
      <c r="O87" s="2" t="s">
        <v>24</v>
      </c>
      <c r="P87" t="str">
        <f>TEXT(Table1[[#This Row],[Transaction Date]],"mmm")</f>
        <v>Jul</v>
      </c>
    </row>
    <row r="88" spans="1:16" ht="15.75" customHeight="1" x14ac:dyDescent="0.3">
      <c r="A88" s="2" t="s">
        <v>261</v>
      </c>
      <c r="B88" s="2">
        <v>246445</v>
      </c>
      <c r="C88" s="2" t="s">
        <v>262</v>
      </c>
      <c r="D88" s="2">
        <v>626901044244</v>
      </c>
      <c r="E88" s="2" t="s">
        <v>34</v>
      </c>
      <c r="F88" s="2" t="s">
        <v>35</v>
      </c>
      <c r="G88" s="2" t="s">
        <v>36</v>
      </c>
      <c r="H88" s="2" t="s">
        <v>66</v>
      </c>
      <c r="I88" s="2" t="s">
        <v>52</v>
      </c>
      <c r="J88" s="2">
        <v>373738.22</v>
      </c>
      <c r="K88" s="2" t="s">
        <v>22</v>
      </c>
      <c r="L88" s="3">
        <v>45773</v>
      </c>
      <c r="M88" s="2" t="s">
        <v>23</v>
      </c>
      <c r="N88" s="2">
        <v>759841.91999999993</v>
      </c>
      <c r="O88" s="2" t="s">
        <v>24</v>
      </c>
      <c r="P88" t="str">
        <f>TEXT(Table1[[#This Row],[Transaction Date]],"mmm")</f>
        <v>Apr</v>
      </c>
    </row>
    <row r="89" spans="1:16" ht="15.75" customHeight="1" x14ac:dyDescent="0.3">
      <c r="A89" s="2" t="s">
        <v>263</v>
      </c>
      <c r="B89" s="2">
        <v>649852</v>
      </c>
      <c r="C89" s="2" t="s">
        <v>264</v>
      </c>
      <c r="D89" s="2">
        <v>360164842230</v>
      </c>
      <c r="E89" s="2" t="s">
        <v>27</v>
      </c>
      <c r="F89" s="2" t="s">
        <v>149</v>
      </c>
      <c r="G89" s="2" t="s">
        <v>150</v>
      </c>
      <c r="H89" s="2" t="s">
        <v>69</v>
      </c>
      <c r="I89" s="2" t="s">
        <v>52</v>
      </c>
      <c r="J89" s="2">
        <v>135613.45000000001</v>
      </c>
      <c r="K89" s="2" t="s">
        <v>48</v>
      </c>
      <c r="L89" s="3">
        <v>45708</v>
      </c>
      <c r="M89" s="2" t="s">
        <v>23</v>
      </c>
      <c r="N89" s="2">
        <v>1878459.02</v>
      </c>
      <c r="O89" s="2" t="s">
        <v>24</v>
      </c>
      <c r="P89" t="str">
        <f>TEXT(Table1[[#This Row],[Transaction Date]],"mmm")</f>
        <v>Feb</v>
      </c>
    </row>
    <row r="90" spans="1:16" ht="15.75" customHeight="1" x14ac:dyDescent="0.3">
      <c r="A90" s="2" t="s">
        <v>265</v>
      </c>
      <c r="B90" s="2">
        <v>846632</v>
      </c>
      <c r="C90" s="2" t="s">
        <v>266</v>
      </c>
      <c r="D90" s="2">
        <v>791650643766</v>
      </c>
      <c r="E90" s="2" t="s">
        <v>34</v>
      </c>
      <c r="F90" s="2" t="s">
        <v>135</v>
      </c>
      <c r="G90" s="2" t="s">
        <v>136</v>
      </c>
      <c r="H90" s="2" t="s">
        <v>30</v>
      </c>
      <c r="I90" s="2" t="s">
        <v>37</v>
      </c>
      <c r="J90" s="2">
        <v>135727.92000000001</v>
      </c>
      <c r="K90" s="2" t="s">
        <v>22</v>
      </c>
      <c r="L90" s="3">
        <v>45128</v>
      </c>
      <c r="M90" s="2" t="s">
        <v>23</v>
      </c>
      <c r="N90" s="2">
        <v>80849.75</v>
      </c>
      <c r="O90" s="2" t="s">
        <v>24</v>
      </c>
      <c r="P90" t="str">
        <f>TEXT(Table1[[#This Row],[Transaction Date]],"mmm")</f>
        <v>Jul</v>
      </c>
    </row>
    <row r="91" spans="1:16" ht="15.75" customHeight="1" x14ac:dyDescent="0.3">
      <c r="A91" s="2" t="s">
        <v>267</v>
      </c>
      <c r="B91" s="2">
        <v>426604</v>
      </c>
      <c r="C91" s="2" t="s">
        <v>268</v>
      </c>
      <c r="D91" s="2">
        <v>694508992835</v>
      </c>
      <c r="E91" s="2" t="s">
        <v>27</v>
      </c>
      <c r="F91" s="2" t="s">
        <v>28</v>
      </c>
      <c r="G91" s="2" t="s">
        <v>29</v>
      </c>
      <c r="H91" s="2" t="s">
        <v>20</v>
      </c>
      <c r="I91" s="2" t="s">
        <v>21</v>
      </c>
      <c r="J91" s="2">
        <v>181205.51</v>
      </c>
      <c r="K91" s="2" t="s">
        <v>97</v>
      </c>
      <c r="L91" s="3">
        <v>45779</v>
      </c>
      <c r="M91" s="2" t="s">
        <v>23</v>
      </c>
      <c r="N91" s="2">
        <v>2162794.13</v>
      </c>
      <c r="O91" s="2" t="s">
        <v>24</v>
      </c>
      <c r="P91" t="str">
        <f>TEXT(Table1[[#This Row],[Transaction Date]],"mmm")</f>
        <v>May</v>
      </c>
    </row>
    <row r="92" spans="1:16" ht="15.75" customHeight="1" x14ac:dyDescent="0.3">
      <c r="A92" s="2" t="s">
        <v>269</v>
      </c>
      <c r="B92" s="2">
        <v>944525</v>
      </c>
      <c r="C92" s="2" t="s">
        <v>270</v>
      </c>
      <c r="D92" s="2">
        <v>109856223455</v>
      </c>
      <c r="E92" s="2" t="s">
        <v>63</v>
      </c>
      <c r="F92" s="2" t="s">
        <v>145</v>
      </c>
      <c r="G92" s="2" t="s">
        <v>146</v>
      </c>
      <c r="H92" s="2" t="s">
        <v>20</v>
      </c>
      <c r="I92" s="2" t="s">
        <v>47</v>
      </c>
      <c r="J92" s="2">
        <v>181990.14</v>
      </c>
      <c r="K92" s="2" t="s">
        <v>31</v>
      </c>
      <c r="L92" s="3">
        <v>45548</v>
      </c>
      <c r="M92" s="2" t="s">
        <v>23</v>
      </c>
      <c r="N92" s="2">
        <v>971684.35</v>
      </c>
      <c r="O92" s="2" t="s">
        <v>24</v>
      </c>
      <c r="P92" t="str">
        <f>TEXT(Table1[[#This Row],[Transaction Date]],"mmm")</f>
        <v>Sep</v>
      </c>
    </row>
    <row r="93" spans="1:16" ht="15.75" customHeight="1" x14ac:dyDescent="0.3">
      <c r="A93" s="2" t="s">
        <v>271</v>
      </c>
      <c r="B93" s="2">
        <v>592501</v>
      </c>
      <c r="C93" s="2" t="s">
        <v>272</v>
      </c>
      <c r="D93" s="2">
        <v>699404858667</v>
      </c>
      <c r="E93" s="2" t="s">
        <v>27</v>
      </c>
      <c r="F93" s="2" t="s">
        <v>149</v>
      </c>
      <c r="G93" s="2" t="s">
        <v>150</v>
      </c>
      <c r="H93" s="2" t="s">
        <v>66</v>
      </c>
      <c r="I93" s="2" t="s">
        <v>47</v>
      </c>
      <c r="J93" s="2">
        <v>156947.67000000001</v>
      </c>
      <c r="K93" s="2" t="s">
        <v>97</v>
      </c>
      <c r="L93" s="3">
        <v>45453</v>
      </c>
      <c r="M93" s="2" t="s">
        <v>23</v>
      </c>
      <c r="N93" s="2">
        <v>1603555.77</v>
      </c>
      <c r="O93" s="2" t="s">
        <v>24</v>
      </c>
      <c r="P93" t="str">
        <f>TEXT(Table1[[#This Row],[Transaction Date]],"mmm")</f>
        <v>Jun</v>
      </c>
    </row>
    <row r="94" spans="1:16" ht="15.75" customHeight="1" x14ac:dyDescent="0.3">
      <c r="A94" s="2" t="s">
        <v>273</v>
      </c>
      <c r="B94" s="2">
        <v>768984</v>
      </c>
      <c r="C94" s="2" t="s">
        <v>274</v>
      </c>
      <c r="D94" s="2">
        <v>208342410757</v>
      </c>
      <c r="E94" s="2" t="s">
        <v>34</v>
      </c>
      <c r="F94" s="2" t="s">
        <v>72</v>
      </c>
      <c r="G94" s="2" t="s">
        <v>73</v>
      </c>
      <c r="H94" s="2" t="s">
        <v>30</v>
      </c>
      <c r="I94" s="2" t="s">
        <v>47</v>
      </c>
      <c r="J94" s="2">
        <v>229674.46</v>
      </c>
      <c r="K94" s="2" t="s">
        <v>97</v>
      </c>
      <c r="L94" s="3">
        <v>45329</v>
      </c>
      <c r="M94" s="2" t="s">
        <v>23</v>
      </c>
      <c r="N94" s="2">
        <v>853283.80999999994</v>
      </c>
      <c r="O94" s="2" t="s">
        <v>24</v>
      </c>
      <c r="P94" t="str">
        <f>TEXT(Table1[[#This Row],[Transaction Date]],"mmm")</f>
        <v>Feb</v>
      </c>
    </row>
    <row r="95" spans="1:16" ht="15.75" customHeight="1" x14ac:dyDescent="0.3">
      <c r="A95" s="2" t="s">
        <v>275</v>
      </c>
      <c r="B95" s="2">
        <v>531859</v>
      </c>
      <c r="C95" s="2" t="s">
        <v>276</v>
      </c>
      <c r="D95" s="2">
        <v>640702669526</v>
      </c>
      <c r="E95" s="2" t="s">
        <v>63</v>
      </c>
      <c r="F95" s="2" t="s">
        <v>176</v>
      </c>
      <c r="G95" s="2" t="s">
        <v>177</v>
      </c>
      <c r="H95" s="2" t="s">
        <v>69</v>
      </c>
      <c r="I95" s="2" t="s">
        <v>47</v>
      </c>
      <c r="J95" s="2">
        <v>190072.68</v>
      </c>
      <c r="K95" s="2" t="s">
        <v>38</v>
      </c>
      <c r="L95" s="3">
        <v>45394</v>
      </c>
      <c r="M95" s="2" t="s">
        <v>23</v>
      </c>
      <c r="N95" s="2">
        <v>899951.25</v>
      </c>
      <c r="O95" s="2" t="s">
        <v>24</v>
      </c>
      <c r="P95" t="str">
        <f>TEXT(Table1[[#This Row],[Transaction Date]],"mmm")</f>
        <v>Apr</v>
      </c>
    </row>
    <row r="96" spans="1:16" ht="15.75" customHeight="1" x14ac:dyDescent="0.3">
      <c r="A96" s="2" t="s">
        <v>277</v>
      </c>
      <c r="B96" s="2">
        <v>405881</v>
      </c>
      <c r="C96" s="2" t="s">
        <v>278</v>
      </c>
      <c r="D96" s="2">
        <v>976230686799</v>
      </c>
      <c r="E96" s="2" t="s">
        <v>63</v>
      </c>
      <c r="F96" s="2" t="s">
        <v>64</v>
      </c>
      <c r="G96" s="2" t="s">
        <v>65</v>
      </c>
      <c r="H96" s="2" t="s">
        <v>30</v>
      </c>
      <c r="I96" s="2" t="s">
        <v>37</v>
      </c>
      <c r="J96" s="2">
        <v>93038.6</v>
      </c>
      <c r="K96" s="2" t="s">
        <v>97</v>
      </c>
      <c r="L96" s="3">
        <v>45321</v>
      </c>
      <c r="M96" s="2" t="s">
        <v>23</v>
      </c>
      <c r="N96" s="2">
        <v>1330639.23</v>
      </c>
      <c r="O96" s="2" t="s">
        <v>24</v>
      </c>
      <c r="P96" t="str">
        <f>TEXT(Table1[[#This Row],[Transaction Date]],"mmm")</f>
        <v>Jan</v>
      </c>
    </row>
    <row r="97" spans="1:16" ht="15.75" customHeight="1" x14ac:dyDescent="0.3">
      <c r="A97" s="2" t="s">
        <v>279</v>
      </c>
      <c r="B97" s="2">
        <v>286469</v>
      </c>
      <c r="C97" s="2" t="s">
        <v>280</v>
      </c>
      <c r="D97" s="2">
        <v>605825525973</v>
      </c>
      <c r="E97" s="2" t="s">
        <v>27</v>
      </c>
      <c r="F97" s="2" t="s">
        <v>215</v>
      </c>
      <c r="G97" s="2" t="s">
        <v>216</v>
      </c>
      <c r="H97" s="2" t="s">
        <v>30</v>
      </c>
      <c r="I97" s="2" t="s">
        <v>37</v>
      </c>
      <c r="J97" s="2">
        <v>111276.4</v>
      </c>
      <c r="K97" s="2" t="s">
        <v>22</v>
      </c>
      <c r="L97" s="3">
        <v>45299</v>
      </c>
      <c r="M97" s="2" t="s">
        <v>23</v>
      </c>
      <c r="N97" s="2">
        <v>1518701.76</v>
      </c>
      <c r="O97" s="2" t="s">
        <v>24</v>
      </c>
      <c r="P97" t="str">
        <f>TEXT(Table1[[#This Row],[Transaction Date]],"mmm")</f>
        <v>Jan</v>
      </c>
    </row>
    <row r="98" spans="1:16" ht="15.75" customHeight="1" x14ac:dyDescent="0.3">
      <c r="A98" s="2" t="s">
        <v>281</v>
      </c>
      <c r="B98" s="2">
        <v>182726</v>
      </c>
      <c r="C98" s="2" t="s">
        <v>282</v>
      </c>
      <c r="D98" s="2">
        <v>915362443565</v>
      </c>
      <c r="E98" s="2" t="s">
        <v>34</v>
      </c>
      <c r="F98" s="2" t="s">
        <v>35</v>
      </c>
      <c r="G98" s="2" t="s">
        <v>36</v>
      </c>
      <c r="H98" s="2" t="s">
        <v>66</v>
      </c>
      <c r="I98" s="2" t="s">
        <v>47</v>
      </c>
      <c r="J98" s="2">
        <v>191244.09</v>
      </c>
      <c r="K98" s="2" t="s">
        <v>97</v>
      </c>
      <c r="L98" s="3">
        <v>45248</v>
      </c>
      <c r="M98" s="2" t="s">
        <v>23</v>
      </c>
      <c r="N98" s="2">
        <v>318250.03999999998</v>
      </c>
      <c r="O98" s="2" t="s">
        <v>24</v>
      </c>
      <c r="P98" t="str">
        <f>TEXT(Table1[[#This Row],[Transaction Date]],"mmm")</f>
        <v>Nov</v>
      </c>
    </row>
    <row r="99" spans="1:16" ht="15.75" customHeight="1" x14ac:dyDescent="0.3">
      <c r="A99" s="2" t="s">
        <v>283</v>
      </c>
      <c r="B99" s="2">
        <v>584031</v>
      </c>
      <c r="C99" s="2" t="s">
        <v>284</v>
      </c>
      <c r="D99" s="2">
        <v>858729220350</v>
      </c>
      <c r="E99" s="2" t="s">
        <v>17</v>
      </c>
      <c r="F99" s="2" t="s">
        <v>45</v>
      </c>
      <c r="G99" s="2" t="s">
        <v>46</v>
      </c>
      <c r="H99" s="2" t="s">
        <v>30</v>
      </c>
      <c r="I99" s="2" t="s">
        <v>21</v>
      </c>
      <c r="J99" s="2">
        <v>238817.39</v>
      </c>
      <c r="K99" s="2" t="s">
        <v>38</v>
      </c>
      <c r="L99" s="3">
        <v>45580</v>
      </c>
      <c r="M99" s="2" t="s">
        <v>23</v>
      </c>
      <c r="N99" s="2">
        <v>275766.65999999997</v>
      </c>
      <c r="O99" s="2" t="s">
        <v>178</v>
      </c>
      <c r="P99" t="str">
        <f>TEXT(Table1[[#This Row],[Transaction Date]],"mmm")</f>
        <v>Oct</v>
      </c>
    </row>
    <row r="100" spans="1:16" ht="15.75" customHeight="1" x14ac:dyDescent="0.3">
      <c r="A100" s="2" t="s">
        <v>285</v>
      </c>
      <c r="B100" s="2">
        <v>518914</v>
      </c>
      <c r="C100" s="2" t="s">
        <v>286</v>
      </c>
      <c r="D100" s="2">
        <v>741907644425</v>
      </c>
      <c r="E100" s="2" t="s">
        <v>90</v>
      </c>
      <c r="F100" s="2" t="s">
        <v>129</v>
      </c>
      <c r="G100" s="2" t="s">
        <v>130</v>
      </c>
      <c r="H100" s="2" t="s">
        <v>69</v>
      </c>
      <c r="I100" s="2" t="s">
        <v>52</v>
      </c>
      <c r="J100" s="2">
        <v>212352.26</v>
      </c>
      <c r="K100" s="2" t="s">
        <v>48</v>
      </c>
      <c r="L100" s="3">
        <v>45450</v>
      </c>
      <c r="M100" s="2" t="s">
        <v>23</v>
      </c>
      <c r="N100" s="2">
        <v>1767810</v>
      </c>
      <c r="O100" s="2" t="s">
        <v>24</v>
      </c>
      <c r="P100" t="str">
        <f>TEXT(Table1[[#This Row],[Transaction Date]],"mmm")</f>
        <v>Jun</v>
      </c>
    </row>
    <row r="101" spans="1:16" ht="15.75" customHeight="1" x14ac:dyDescent="0.3">
      <c r="A101" s="2" t="s">
        <v>287</v>
      </c>
      <c r="B101" s="2">
        <v>737238</v>
      </c>
      <c r="C101" s="2" t="s">
        <v>288</v>
      </c>
      <c r="D101" s="2">
        <v>184804419951</v>
      </c>
      <c r="E101" s="2" t="s">
        <v>34</v>
      </c>
      <c r="F101" s="2" t="s">
        <v>35</v>
      </c>
      <c r="G101" s="2" t="s">
        <v>36</v>
      </c>
      <c r="H101" s="2" t="s">
        <v>66</v>
      </c>
      <c r="I101" s="2" t="s">
        <v>47</v>
      </c>
      <c r="J101" s="2">
        <v>264455.89</v>
      </c>
      <c r="K101" s="2" t="s">
        <v>48</v>
      </c>
      <c r="L101" s="3">
        <v>45742</v>
      </c>
      <c r="M101" s="2" t="s">
        <v>23</v>
      </c>
      <c r="N101" s="2">
        <v>1732815.58</v>
      </c>
      <c r="O101" s="2" t="s">
        <v>24</v>
      </c>
      <c r="P101" t="str">
        <f>TEXT(Table1[[#This Row],[Transaction Date]],"mmm")</f>
        <v>Mar</v>
      </c>
    </row>
    <row r="102" spans="1:16" ht="15.75" customHeight="1" x14ac:dyDescent="0.3">
      <c r="A102" s="2" t="s">
        <v>289</v>
      </c>
      <c r="B102" s="2">
        <v>460707</v>
      </c>
      <c r="C102" s="2" t="s">
        <v>290</v>
      </c>
      <c r="D102" s="2">
        <v>503436480030</v>
      </c>
      <c r="E102" s="2" t="s">
        <v>17</v>
      </c>
      <c r="F102" s="2" t="s">
        <v>155</v>
      </c>
      <c r="G102" s="2" t="s">
        <v>156</v>
      </c>
      <c r="H102" s="2" t="s">
        <v>20</v>
      </c>
      <c r="I102" s="2" t="s">
        <v>47</v>
      </c>
      <c r="J102" s="2">
        <v>131212.89000000001</v>
      </c>
      <c r="K102" s="2" t="s">
        <v>97</v>
      </c>
      <c r="L102" s="3">
        <v>45392</v>
      </c>
      <c r="M102" s="2" t="s">
        <v>23</v>
      </c>
      <c r="N102" s="2">
        <v>1938830.27</v>
      </c>
      <c r="O102" s="2" t="s">
        <v>24</v>
      </c>
      <c r="P102" t="str">
        <f>TEXT(Table1[[#This Row],[Transaction Date]],"mmm")</f>
        <v>Apr</v>
      </c>
    </row>
    <row r="103" spans="1:16" ht="15.75" customHeight="1" x14ac:dyDescent="0.3">
      <c r="A103" s="2" t="s">
        <v>291</v>
      </c>
      <c r="B103" s="2">
        <v>408467</v>
      </c>
      <c r="C103" s="2" t="s">
        <v>292</v>
      </c>
      <c r="D103" s="2">
        <v>443440313367</v>
      </c>
      <c r="E103" s="2" t="s">
        <v>27</v>
      </c>
      <c r="F103" s="2" t="s">
        <v>149</v>
      </c>
      <c r="G103" s="2" t="s">
        <v>150</v>
      </c>
      <c r="H103" s="2" t="s">
        <v>69</v>
      </c>
      <c r="I103" s="2" t="s">
        <v>47</v>
      </c>
      <c r="J103" s="2">
        <v>262020.46</v>
      </c>
      <c r="K103" s="2" t="s">
        <v>97</v>
      </c>
      <c r="L103" s="3">
        <v>45715</v>
      </c>
      <c r="M103" s="2" t="s">
        <v>23</v>
      </c>
      <c r="N103" s="2">
        <v>909536.89</v>
      </c>
      <c r="O103" s="2" t="s">
        <v>24</v>
      </c>
      <c r="P103" t="str">
        <f>TEXT(Table1[[#This Row],[Transaction Date]],"mmm")</f>
        <v>Feb</v>
      </c>
    </row>
    <row r="104" spans="1:16" ht="15.75" customHeight="1" x14ac:dyDescent="0.3">
      <c r="A104" s="2" t="s">
        <v>293</v>
      </c>
      <c r="B104" s="2">
        <v>544498</v>
      </c>
      <c r="C104" s="2" t="s">
        <v>294</v>
      </c>
      <c r="D104" s="2">
        <v>823134970926</v>
      </c>
      <c r="E104" s="2" t="s">
        <v>63</v>
      </c>
      <c r="F104" s="2" t="s">
        <v>82</v>
      </c>
      <c r="G104" s="2" t="s">
        <v>83</v>
      </c>
      <c r="H104" s="2" t="s">
        <v>20</v>
      </c>
      <c r="I104" s="2" t="s">
        <v>37</v>
      </c>
      <c r="J104" s="2">
        <v>124381.09</v>
      </c>
      <c r="K104" s="2" t="s">
        <v>97</v>
      </c>
      <c r="L104" s="3">
        <v>45318</v>
      </c>
      <c r="M104" s="2" t="s">
        <v>23</v>
      </c>
      <c r="N104" s="2">
        <v>908547.25</v>
      </c>
      <c r="O104" s="2" t="s">
        <v>24</v>
      </c>
      <c r="P104" t="str">
        <f>TEXT(Table1[[#This Row],[Transaction Date]],"mmm")</f>
        <v>Jan</v>
      </c>
    </row>
    <row r="105" spans="1:16" ht="15.75" customHeight="1" x14ac:dyDescent="0.3">
      <c r="A105" s="2" t="s">
        <v>295</v>
      </c>
      <c r="B105" s="2">
        <v>621252</v>
      </c>
      <c r="C105" s="2" t="s">
        <v>296</v>
      </c>
      <c r="D105" s="2">
        <v>319436377684</v>
      </c>
      <c r="E105" s="2" t="s">
        <v>34</v>
      </c>
      <c r="F105" s="2" t="s">
        <v>41</v>
      </c>
      <c r="G105" s="2" t="s">
        <v>42</v>
      </c>
      <c r="H105" s="2" t="s">
        <v>69</v>
      </c>
      <c r="I105" s="2" t="s">
        <v>47</v>
      </c>
      <c r="J105" s="2">
        <v>160823.4</v>
      </c>
      <c r="K105" s="2" t="s">
        <v>31</v>
      </c>
      <c r="L105" s="3">
        <v>45818</v>
      </c>
      <c r="M105" s="2" t="s">
        <v>23</v>
      </c>
      <c r="N105" s="2">
        <v>1663818.17</v>
      </c>
      <c r="O105" s="2" t="s">
        <v>24</v>
      </c>
      <c r="P105" t="str">
        <f>TEXT(Table1[[#This Row],[Transaction Date]],"mmm")</f>
        <v>Jun</v>
      </c>
    </row>
    <row r="106" spans="1:16" ht="15.75" customHeight="1" x14ac:dyDescent="0.3">
      <c r="A106" s="2" t="s">
        <v>297</v>
      </c>
      <c r="B106" s="2">
        <v>726225</v>
      </c>
      <c r="C106" s="2" t="s">
        <v>298</v>
      </c>
      <c r="D106" s="2">
        <v>262242868098</v>
      </c>
      <c r="E106" s="2" t="s">
        <v>90</v>
      </c>
      <c r="F106" s="2" t="s">
        <v>108</v>
      </c>
      <c r="G106" s="2" t="s">
        <v>109</v>
      </c>
      <c r="H106" s="2" t="s">
        <v>69</v>
      </c>
      <c r="I106" s="2" t="s">
        <v>21</v>
      </c>
      <c r="J106" s="2">
        <v>580253.53</v>
      </c>
      <c r="K106" s="2" t="s">
        <v>97</v>
      </c>
      <c r="L106" s="3">
        <v>45301</v>
      </c>
      <c r="M106" s="2" t="s">
        <v>23</v>
      </c>
      <c r="N106" s="2">
        <v>2200135.6800000002</v>
      </c>
      <c r="O106" s="2" t="s">
        <v>24</v>
      </c>
      <c r="P106" t="str">
        <f>TEXT(Table1[[#This Row],[Transaction Date]],"mmm")</f>
        <v>Jan</v>
      </c>
    </row>
    <row r="107" spans="1:16" ht="15.75" customHeight="1" x14ac:dyDescent="0.3">
      <c r="A107" s="2" t="s">
        <v>299</v>
      </c>
      <c r="B107" s="2">
        <v>434987</v>
      </c>
      <c r="C107" s="2" t="s">
        <v>300</v>
      </c>
      <c r="D107" s="2">
        <v>513922347721</v>
      </c>
      <c r="E107" s="2" t="s">
        <v>17</v>
      </c>
      <c r="F107" s="2" t="s">
        <v>18</v>
      </c>
      <c r="G107" s="2" t="s">
        <v>19</v>
      </c>
      <c r="H107" s="2" t="s">
        <v>69</v>
      </c>
      <c r="I107" s="2" t="s">
        <v>21</v>
      </c>
      <c r="J107" s="2">
        <v>134600.71</v>
      </c>
      <c r="K107" s="2" t="s">
        <v>97</v>
      </c>
      <c r="L107" s="3">
        <v>45836</v>
      </c>
      <c r="M107" s="2" t="s">
        <v>23</v>
      </c>
      <c r="N107" s="2">
        <v>1982268</v>
      </c>
      <c r="O107" s="2" t="s">
        <v>24</v>
      </c>
      <c r="P107" t="str">
        <f>TEXT(Table1[[#This Row],[Transaction Date]],"mmm")</f>
        <v>Jun</v>
      </c>
    </row>
    <row r="108" spans="1:16" ht="15.75" customHeight="1" x14ac:dyDescent="0.3">
      <c r="A108" s="2" t="s">
        <v>301</v>
      </c>
      <c r="B108" s="2">
        <v>718531</v>
      </c>
      <c r="C108" s="2" t="s">
        <v>302</v>
      </c>
      <c r="D108" s="2">
        <v>904962141704</v>
      </c>
      <c r="E108" s="2" t="s">
        <v>90</v>
      </c>
      <c r="F108" s="2" t="s">
        <v>104</v>
      </c>
      <c r="G108" s="2" t="s">
        <v>105</v>
      </c>
      <c r="H108" s="2" t="s">
        <v>20</v>
      </c>
      <c r="I108" s="2" t="s">
        <v>37</v>
      </c>
      <c r="J108" s="2">
        <v>127508.79</v>
      </c>
      <c r="K108" s="2" t="s">
        <v>31</v>
      </c>
      <c r="L108" s="3">
        <v>45203</v>
      </c>
      <c r="M108" s="2" t="s">
        <v>23</v>
      </c>
      <c r="N108" s="2">
        <v>531027.1</v>
      </c>
      <c r="O108" s="2" t="s">
        <v>24</v>
      </c>
      <c r="P108" t="str">
        <f>TEXT(Table1[[#This Row],[Transaction Date]],"mmm")</f>
        <v>Oct</v>
      </c>
    </row>
    <row r="109" spans="1:16" ht="15.75" customHeight="1" x14ac:dyDescent="0.3">
      <c r="A109" s="2" t="s">
        <v>303</v>
      </c>
      <c r="B109" s="2">
        <v>692379</v>
      </c>
      <c r="C109" s="2" t="s">
        <v>304</v>
      </c>
      <c r="D109" s="2">
        <v>488415133220</v>
      </c>
      <c r="E109" s="2" t="s">
        <v>90</v>
      </c>
      <c r="F109" s="2" t="s">
        <v>161</v>
      </c>
      <c r="G109" s="2" t="s">
        <v>162</v>
      </c>
      <c r="H109" s="2" t="s">
        <v>20</v>
      </c>
      <c r="I109" s="2" t="s">
        <v>52</v>
      </c>
      <c r="J109" s="2">
        <v>403120.57</v>
      </c>
      <c r="K109" s="2" t="s">
        <v>22</v>
      </c>
      <c r="L109" s="3">
        <v>45432</v>
      </c>
      <c r="M109" s="2" t="s">
        <v>23</v>
      </c>
      <c r="N109" s="2">
        <v>754321.82000000007</v>
      </c>
      <c r="O109" s="2" t="s">
        <v>24</v>
      </c>
      <c r="P109" t="str">
        <f>TEXT(Table1[[#This Row],[Transaction Date]],"mmm")</f>
        <v>May</v>
      </c>
    </row>
    <row r="110" spans="1:16" ht="15.75" customHeight="1" x14ac:dyDescent="0.3">
      <c r="A110" s="2" t="s">
        <v>305</v>
      </c>
      <c r="B110" s="2">
        <v>533757</v>
      </c>
      <c r="C110" s="2" t="s">
        <v>306</v>
      </c>
      <c r="D110" s="2">
        <v>197930940390</v>
      </c>
      <c r="E110" s="2" t="s">
        <v>17</v>
      </c>
      <c r="F110" s="2" t="s">
        <v>86</v>
      </c>
      <c r="G110" s="2" t="s">
        <v>87</v>
      </c>
      <c r="H110" s="2" t="s">
        <v>69</v>
      </c>
      <c r="I110" s="2" t="s">
        <v>52</v>
      </c>
      <c r="J110" s="2">
        <v>384377.95</v>
      </c>
      <c r="K110" s="2" t="s">
        <v>22</v>
      </c>
      <c r="L110" s="3">
        <v>45618</v>
      </c>
      <c r="M110" s="2" t="s">
        <v>23</v>
      </c>
      <c r="N110" s="2">
        <v>943785.49</v>
      </c>
      <c r="O110" s="2" t="s">
        <v>24</v>
      </c>
      <c r="P110" t="str">
        <f>TEXT(Table1[[#This Row],[Transaction Date]],"mmm")</f>
        <v>Nov</v>
      </c>
    </row>
    <row r="111" spans="1:16" ht="15.75" customHeight="1" x14ac:dyDescent="0.3">
      <c r="A111" s="2" t="s">
        <v>307</v>
      </c>
      <c r="B111" s="2">
        <v>317781</v>
      </c>
      <c r="C111" s="2" t="s">
        <v>308</v>
      </c>
      <c r="D111" s="2">
        <v>689762479864</v>
      </c>
      <c r="E111" s="2" t="s">
        <v>34</v>
      </c>
      <c r="F111" s="2" t="s">
        <v>59</v>
      </c>
      <c r="G111" s="2" t="s">
        <v>60</v>
      </c>
      <c r="H111" s="2" t="s">
        <v>20</v>
      </c>
      <c r="I111" s="2" t="s">
        <v>37</v>
      </c>
      <c r="J111" s="2">
        <v>12223.36</v>
      </c>
      <c r="K111" s="2" t="s">
        <v>48</v>
      </c>
      <c r="L111" s="3">
        <v>45254</v>
      </c>
      <c r="M111" s="2" t="s">
        <v>23</v>
      </c>
      <c r="N111" s="2">
        <v>211768.29</v>
      </c>
      <c r="O111" s="2" t="s">
        <v>24</v>
      </c>
      <c r="P111" t="str">
        <f>TEXT(Table1[[#This Row],[Transaction Date]],"mmm")</f>
        <v>Nov</v>
      </c>
    </row>
    <row r="112" spans="1:16" ht="15.75" customHeight="1" x14ac:dyDescent="0.3">
      <c r="A112" s="2" t="s">
        <v>309</v>
      </c>
      <c r="B112" s="2">
        <v>409256</v>
      </c>
      <c r="C112" s="2" t="s">
        <v>310</v>
      </c>
      <c r="D112" s="2">
        <v>616978136350</v>
      </c>
      <c r="E112" s="2" t="s">
        <v>27</v>
      </c>
      <c r="F112" s="2" t="s">
        <v>191</v>
      </c>
      <c r="G112" s="2" t="s">
        <v>192</v>
      </c>
      <c r="H112" s="2" t="s">
        <v>66</v>
      </c>
      <c r="I112" s="2" t="s">
        <v>52</v>
      </c>
      <c r="J112" s="2">
        <v>497985.44</v>
      </c>
      <c r="K112" s="2" t="s">
        <v>48</v>
      </c>
      <c r="L112" s="3">
        <v>45505</v>
      </c>
      <c r="M112" s="2" t="s">
        <v>112</v>
      </c>
      <c r="N112" s="2">
        <v>899053.12</v>
      </c>
      <c r="O112" s="2" t="s">
        <v>24</v>
      </c>
      <c r="P112" t="str">
        <f>TEXT(Table1[[#This Row],[Transaction Date]],"mmm")</f>
        <v>Aug</v>
      </c>
    </row>
    <row r="113" spans="1:16" ht="15.75" customHeight="1" x14ac:dyDescent="0.3">
      <c r="A113" s="2" t="s">
        <v>311</v>
      </c>
      <c r="B113" s="2">
        <v>850255</v>
      </c>
      <c r="C113" s="2" t="s">
        <v>312</v>
      </c>
      <c r="D113" s="2">
        <v>989289734142</v>
      </c>
      <c r="E113" s="2" t="s">
        <v>63</v>
      </c>
      <c r="F113" s="2" t="s">
        <v>145</v>
      </c>
      <c r="G113" s="2" t="s">
        <v>146</v>
      </c>
      <c r="H113" s="2" t="s">
        <v>66</v>
      </c>
      <c r="I113" s="2" t="s">
        <v>37</v>
      </c>
      <c r="J113" s="2">
        <v>69366.789999999994</v>
      </c>
      <c r="K113" s="2" t="s">
        <v>48</v>
      </c>
      <c r="L113" s="3">
        <v>45580</v>
      </c>
      <c r="M113" s="2" t="s">
        <v>23</v>
      </c>
      <c r="N113" s="2">
        <v>1690157.48</v>
      </c>
      <c r="O113" s="2" t="s">
        <v>24</v>
      </c>
      <c r="P113" t="str">
        <f>TEXT(Table1[[#This Row],[Transaction Date]],"mmm")</f>
        <v>Oct</v>
      </c>
    </row>
    <row r="114" spans="1:16" ht="15.75" customHeight="1" x14ac:dyDescent="0.3">
      <c r="A114" s="2" t="s">
        <v>313</v>
      </c>
      <c r="B114" s="2">
        <v>678961</v>
      </c>
      <c r="C114" s="2" t="s">
        <v>314</v>
      </c>
      <c r="D114" s="2">
        <v>353294394784</v>
      </c>
      <c r="E114" s="2" t="s">
        <v>34</v>
      </c>
      <c r="F114" s="2" t="s">
        <v>41</v>
      </c>
      <c r="G114" s="2" t="s">
        <v>42</v>
      </c>
      <c r="H114" s="2" t="s">
        <v>20</v>
      </c>
      <c r="I114" s="2" t="s">
        <v>52</v>
      </c>
      <c r="J114" s="2">
        <v>89438.03</v>
      </c>
      <c r="K114" s="2" t="s">
        <v>22</v>
      </c>
      <c r="L114" s="3">
        <v>45502</v>
      </c>
      <c r="M114" s="2" t="s">
        <v>23</v>
      </c>
      <c r="N114" s="2">
        <v>613416.06000000006</v>
      </c>
      <c r="O114" s="2" t="s">
        <v>24</v>
      </c>
      <c r="P114" t="str">
        <f>TEXT(Table1[[#This Row],[Transaction Date]],"mmm")</f>
        <v>Jul</v>
      </c>
    </row>
    <row r="115" spans="1:16" ht="15.75" customHeight="1" x14ac:dyDescent="0.3">
      <c r="A115" s="2" t="s">
        <v>315</v>
      </c>
      <c r="B115" s="2">
        <v>172992</v>
      </c>
      <c r="C115" s="2" t="s">
        <v>316</v>
      </c>
      <c r="D115" s="2">
        <v>879867008186</v>
      </c>
      <c r="E115" s="2" t="s">
        <v>90</v>
      </c>
      <c r="F115" s="2" t="s">
        <v>108</v>
      </c>
      <c r="G115" s="2" t="s">
        <v>109</v>
      </c>
      <c r="H115" s="2" t="s">
        <v>30</v>
      </c>
      <c r="I115" s="2" t="s">
        <v>37</v>
      </c>
      <c r="J115" s="2">
        <v>39572.94</v>
      </c>
      <c r="K115" s="2" t="s">
        <v>48</v>
      </c>
      <c r="L115" s="3">
        <v>45461</v>
      </c>
      <c r="M115" s="2" t="s">
        <v>23</v>
      </c>
      <c r="N115" s="2">
        <v>1837709.49</v>
      </c>
      <c r="O115" s="2" t="s">
        <v>24</v>
      </c>
      <c r="P115" t="str">
        <f>TEXT(Table1[[#This Row],[Transaction Date]],"mmm")</f>
        <v>Jun</v>
      </c>
    </row>
    <row r="116" spans="1:16" ht="15.75" customHeight="1" x14ac:dyDescent="0.3">
      <c r="A116" s="2" t="s">
        <v>317</v>
      </c>
      <c r="B116" s="2">
        <v>618099</v>
      </c>
      <c r="C116" s="2" t="s">
        <v>318</v>
      </c>
      <c r="D116" s="2">
        <v>346427521349</v>
      </c>
      <c r="E116" s="2" t="s">
        <v>34</v>
      </c>
      <c r="F116" s="2" t="s">
        <v>59</v>
      </c>
      <c r="G116" s="2" t="s">
        <v>60</v>
      </c>
      <c r="H116" s="2" t="s">
        <v>30</v>
      </c>
      <c r="I116" s="2" t="s">
        <v>52</v>
      </c>
      <c r="J116" s="2">
        <v>175602.6</v>
      </c>
      <c r="K116" s="2" t="s">
        <v>48</v>
      </c>
      <c r="L116" s="3">
        <v>45299</v>
      </c>
      <c r="M116" s="2" t="s">
        <v>23</v>
      </c>
      <c r="N116" s="2">
        <v>1085277.28</v>
      </c>
      <c r="O116" s="2" t="s">
        <v>24</v>
      </c>
      <c r="P116" t="str">
        <f>TEXT(Table1[[#This Row],[Transaction Date]],"mmm")</f>
        <v>Jan</v>
      </c>
    </row>
    <row r="117" spans="1:16" ht="15.75" customHeight="1" x14ac:dyDescent="0.3">
      <c r="A117" s="2" t="s">
        <v>319</v>
      </c>
      <c r="B117" s="2">
        <v>245396</v>
      </c>
      <c r="C117" s="2" t="s">
        <v>320</v>
      </c>
      <c r="D117" s="2">
        <v>142582750102</v>
      </c>
      <c r="E117" s="2" t="s">
        <v>90</v>
      </c>
      <c r="F117" s="2" t="s">
        <v>129</v>
      </c>
      <c r="G117" s="2" t="s">
        <v>130</v>
      </c>
      <c r="H117" s="2" t="s">
        <v>20</v>
      </c>
      <c r="I117" s="2" t="s">
        <v>47</v>
      </c>
      <c r="J117" s="2">
        <v>287661.89</v>
      </c>
      <c r="K117" s="2" t="s">
        <v>38</v>
      </c>
      <c r="L117" s="3">
        <v>45568</v>
      </c>
      <c r="M117" s="2" t="s">
        <v>23</v>
      </c>
      <c r="N117" s="2">
        <v>509167.84</v>
      </c>
      <c r="O117" s="2" t="s">
        <v>24</v>
      </c>
      <c r="P117" t="str">
        <f>TEXT(Table1[[#This Row],[Transaction Date]],"mmm")</f>
        <v>Oct</v>
      </c>
    </row>
    <row r="118" spans="1:16" ht="15.75" customHeight="1" x14ac:dyDescent="0.3">
      <c r="A118" s="2" t="s">
        <v>321</v>
      </c>
      <c r="B118" s="2">
        <v>396948</v>
      </c>
      <c r="C118" s="2" t="s">
        <v>322</v>
      </c>
      <c r="D118" s="2">
        <v>847152245069</v>
      </c>
      <c r="E118" s="2" t="s">
        <v>27</v>
      </c>
      <c r="F118" s="2" t="s">
        <v>149</v>
      </c>
      <c r="G118" s="2" t="s">
        <v>150</v>
      </c>
      <c r="H118" s="2" t="s">
        <v>30</v>
      </c>
      <c r="I118" s="2" t="s">
        <v>21</v>
      </c>
      <c r="J118" s="2">
        <v>380035.38</v>
      </c>
      <c r="K118" s="2" t="s">
        <v>97</v>
      </c>
      <c r="L118" s="3">
        <v>45762</v>
      </c>
      <c r="M118" s="2" t="s">
        <v>23</v>
      </c>
      <c r="N118" s="2">
        <v>521060.94</v>
      </c>
      <c r="O118" s="2" t="s">
        <v>24</v>
      </c>
      <c r="P118" t="str">
        <f>TEXT(Table1[[#This Row],[Transaction Date]],"mmm")</f>
        <v>Apr</v>
      </c>
    </row>
    <row r="119" spans="1:16" ht="15.75" customHeight="1" x14ac:dyDescent="0.3">
      <c r="A119" s="2" t="s">
        <v>323</v>
      </c>
      <c r="B119" s="2">
        <v>627945</v>
      </c>
      <c r="C119" s="2" t="s">
        <v>324</v>
      </c>
      <c r="D119" s="2">
        <v>952800653604</v>
      </c>
      <c r="E119" s="2" t="s">
        <v>63</v>
      </c>
      <c r="F119" s="2" t="s">
        <v>145</v>
      </c>
      <c r="G119" s="2" t="s">
        <v>146</v>
      </c>
      <c r="H119" s="2" t="s">
        <v>66</v>
      </c>
      <c r="I119" s="2" t="s">
        <v>47</v>
      </c>
      <c r="J119" s="2">
        <v>153804.91</v>
      </c>
      <c r="K119" s="2" t="s">
        <v>48</v>
      </c>
      <c r="L119" s="3">
        <v>45170</v>
      </c>
      <c r="M119" s="2" t="s">
        <v>23</v>
      </c>
      <c r="N119" s="2">
        <v>1221345.6499999999</v>
      </c>
      <c r="O119" s="2" t="s">
        <v>24</v>
      </c>
      <c r="P119" t="str">
        <f>TEXT(Table1[[#This Row],[Transaction Date]],"mmm")</f>
        <v>Sep</v>
      </c>
    </row>
    <row r="120" spans="1:16" ht="15.75" customHeight="1" x14ac:dyDescent="0.3">
      <c r="A120" s="2" t="s">
        <v>325</v>
      </c>
      <c r="B120" s="2">
        <v>439411</v>
      </c>
      <c r="C120" s="2" t="s">
        <v>326</v>
      </c>
      <c r="D120" s="2">
        <v>802999451859</v>
      </c>
      <c r="E120" s="2" t="s">
        <v>34</v>
      </c>
      <c r="F120" s="2" t="s">
        <v>72</v>
      </c>
      <c r="G120" s="2" t="s">
        <v>73</v>
      </c>
      <c r="H120" s="2" t="s">
        <v>69</v>
      </c>
      <c r="I120" s="2" t="s">
        <v>52</v>
      </c>
      <c r="J120" s="2">
        <v>113618.28</v>
      </c>
      <c r="K120" s="2" t="s">
        <v>48</v>
      </c>
      <c r="L120" s="3">
        <v>45514</v>
      </c>
      <c r="M120" s="2" t="s">
        <v>23</v>
      </c>
      <c r="N120" s="2">
        <v>1191424.69</v>
      </c>
      <c r="O120" s="2" t="s">
        <v>24</v>
      </c>
      <c r="P120" t="str">
        <f>TEXT(Table1[[#This Row],[Transaction Date]],"mmm")</f>
        <v>Aug</v>
      </c>
    </row>
    <row r="121" spans="1:16" ht="15.75" customHeight="1" x14ac:dyDescent="0.3">
      <c r="A121" s="2" t="s">
        <v>327</v>
      </c>
      <c r="B121" s="2">
        <v>900676</v>
      </c>
      <c r="C121" s="2" t="s">
        <v>328</v>
      </c>
      <c r="D121" s="2">
        <v>980417793826</v>
      </c>
      <c r="E121" s="2" t="s">
        <v>27</v>
      </c>
      <c r="F121" s="2" t="s">
        <v>191</v>
      </c>
      <c r="G121" s="2" t="s">
        <v>192</v>
      </c>
      <c r="H121" s="2" t="s">
        <v>30</v>
      </c>
      <c r="I121" s="2" t="s">
        <v>52</v>
      </c>
      <c r="J121" s="2">
        <v>433074.01</v>
      </c>
      <c r="K121" s="2" t="s">
        <v>38</v>
      </c>
      <c r="L121" s="3">
        <v>45464</v>
      </c>
      <c r="M121" s="2" t="s">
        <v>23</v>
      </c>
      <c r="N121" s="2">
        <v>1054990.6399999999</v>
      </c>
      <c r="O121" s="2" t="s">
        <v>24</v>
      </c>
      <c r="P121" t="str">
        <f>TEXT(Table1[[#This Row],[Transaction Date]],"mmm")</f>
        <v>Jun</v>
      </c>
    </row>
    <row r="122" spans="1:16" ht="15.75" customHeight="1" x14ac:dyDescent="0.3">
      <c r="A122" s="2" t="s">
        <v>329</v>
      </c>
      <c r="B122" s="2">
        <v>843102</v>
      </c>
      <c r="C122" s="2" t="s">
        <v>330</v>
      </c>
      <c r="D122" s="2">
        <v>920697483092</v>
      </c>
      <c r="E122" s="2" t="s">
        <v>63</v>
      </c>
      <c r="F122" s="2" t="s">
        <v>82</v>
      </c>
      <c r="G122" s="2" t="s">
        <v>83</v>
      </c>
      <c r="H122" s="2" t="s">
        <v>66</v>
      </c>
      <c r="I122" s="2" t="s">
        <v>21</v>
      </c>
      <c r="J122" s="2">
        <v>149417.23000000001</v>
      </c>
      <c r="K122" s="2" t="s">
        <v>97</v>
      </c>
      <c r="L122" s="3">
        <v>45839</v>
      </c>
      <c r="M122" s="2" t="s">
        <v>23</v>
      </c>
      <c r="N122" s="2">
        <v>274117.08</v>
      </c>
      <c r="O122" s="2" t="s">
        <v>24</v>
      </c>
      <c r="P122" t="str">
        <f>TEXT(Table1[[#This Row],[Transaction Date]],"mmm")</f>
        <v>Jul</v>
      </c>
    </row>
    <row r="123" spans="1:16" ht="15.75" customHeight="1" x14ac:dyDescent="0.3">
      <c r="A123" s="2" t="s">
        <v>331</v>
      </c>
      <c r="B123" s="2">
        <v>181978</v>
      </c>
      <c r="C123" s="2" t="s">
        <v>332</v>
      </c>
      <c r="D123" s="2">
        <v>440778300689</v>
      </c>
      <c r="E123" s="2" t="s">
        <v>17</v>
      </c>
      <c r="F123" s="2" t="s">
        <v>86</v>
      </c>
      <c r="G123" s="2" t="s">
        <v>87</v>
      </c>
      <c r="H123" s="2" t="s">
        <v>20</v>
      </c>
      <c r="I123" s="2" t="s">
        <v>21</v>
      </c>
      <c r="J123" s="2">
        <v>390198.76</v>
      </c>
      <c r="K123" s="2" t="s">
        <v>31</v>
      </c>
      <c r="L123" s="3">
        <v>45476</v>
      </c>
      <c r="M123" s="2" t="s">
        <v>23</v>
      </c>
      <c r="N123" s="2">
        <v>2155021.19</v>
      </c>
      <c r="O123" s="2" t="s">
        <v>24</v>
      </c>
      <c r="P123" t="str">
        <f>TEXT(Table1[[#This Row],[Transaction Date]],"mmm")</f>
        <v>Jul</v>
      </c>
    </row>
    <row r="124" spans="1:16" ht="15.75" customHeight="1" x14ac:dyDescent="0.3">
      <c r="A124" s="2" t="s">
        <v>333</v>
      </c>
      <c r="B124" s="2">
        <v>948408</v>
      </c>
      <c r="C124" s="2" t="s">
        <v>334</v>
      </c>
      <c r="D124" s="2">
        <v>176675428770</v>
      </c>
      <c r="E124" s="2" t="s">
        <v>27</v>
      </c>
      <c r="F124" s="2" t="s">
        <v>191</v>
      </c>
      <c r="G124" s="2" t="s">
        <v>192</v>
      </c>
      <c r="H124" s="2" t="s">
        <v>30</v>
      </c>
      <c r="I124" s="2" t="s">
        <v>52</v>
      </c>
      <c r="J124" s="2">
        <v>244655.55</v>
      </c>
      <c r="K124" s="2" t="s">
        <v>48</v>
      </c>
      <c r="L124" s="3">
        <v>45614</v>
      </c>
      <c r="M124" s="2" t="s">
        <v>23</v>
      </c>
      <c r="N124" s="2">
        <v>1771612.81</v>
      </c>
      <c r="O124" s="2" t="s">
        <v>24</v>
      </c>
      <c r="P124" t="str">
        <f>TEXT(Table1[[#This Row],[Transaction Date]],"mmm")</f>
        <v>Nov</v>
      </c>
    </row>
    <row r="125" spans="1:16" ht="15.75" customHeight="1" x14ac:dyDescent="0.3">
      <c r="A125" s="2" t="s">
        <v>335</v>
      </c>
      <c r="B125" s="2">
        <v>524156</v>
      </c>
      <c r="C125" s="2" t="s">
        <v>336</v>
      </c>
      <c r="D125" s="2">
        <v>300442436792</v>
      </c>
      <c r="E125" s="2" t="s">
        <v>90</v>
      </c>
      <c r="F125" s="2" t="s">
        <v>161</v>
      </c>
      <c r="G125" s="2" t="s">
        <v>162</v>
      </c>
      <c r="H125" s="2" t="s">
        <v>66</v>
      </c>
      <c r="I125" s="2" t="s">
        <v>21</v>
      </c>
      <c r="J125" s="2">
        <v>87325.57</v>
      </c>
      <c r="K125" s="2" t="s">
        <v>31</v>
      </c>
      <c r="L125" s="3">
        <v>45745</v>
      </c>
      <c r="M125" s="2" t="s">
        <v>112</v>
      </c>
      <c r="N125" s="2">
        <v>807658.13000000012</v>
      </c>
      <c r="O125" s="2" t="s">
        <v>24</v>
      </c>
      <c r="P125" t="str">
        <f>TEXT(Table1[[#This Row],[Transaction Date]],"mmm")</f>
        <v>Mar</v>
      </c>
    </row>
    <row r="126" spans="1:16" ht="15.75" customHeight="1" x14ac:dyDescent="0.3">
      <c r="A126" s="2" t="s">
        <v>337</v>
      </c>
      <c r="B126" s="2">
        <v>223350</v>
      </c>
      <c r="C126" s="2" t="s">
        <v>338</v>
      </c>
      <c r="D126" s="2">
        <v>650905653791</v>
      </c>
      <c r="E126" s="2" t="s">
        <v>27</v>
      </c>
      <c r="F126" s="2" t="s">
        <v>149</v>
      </c>
      <c r="G126" s="2" t="s">
        <v>150</v>
      </c>
      <c r="H126" s="2" t="s">
        <v>66</v>
      </c>
      <c r="I126" s="2" t="s">
        <v>52</v>
      </c>
      <c r="J126" s="2">
        <v>83160.84</v>
      </c>
      <c r="K126" s="2" t="s">
        <v>48</v>
      </c>
      <c r="L126" s="3">
        <v>45408</v>
      </c>
      <c r="M126" s="2" t="s">
        <v>23</v>
      </c>
      <c r="N126" s="2">
        <v>1048411.65</v>
      </c>
      <c r="O126" s="2" t="s">
        <v>24</v>
      </c>
      <c r="P126" t="str">
        <f>TEXT(Table1[[#This Row],[Transaction Date]],"mmm")</f>
        <v>Apr</v>
      </c>
    </row>
    <row r="127" spans="1:16" ht="15.75" customHeight="1" x14ac:dyDescent="0.3">
      <c r="A127" s="2" t="s">
        <v>339</v>
      </c>
      <c r="B127" s="2">
        <v>860759</v>
      </c>
      <c r="C127" s="2" t="s">
        <v>340</v>
      </c>
      <c r="D127" s="2">
        <v>274518043942</v>
      </c>
      <c r="E127" s="2" t="s">
        <v>90</v>
      </c>
      <c r="F127" s="2" t="s">
        <v>129</v>
      </c>
      <c r="G127" s="2" t="s">
        <v>130</v>
      </c>
      <c r="H127" s="2" t="s">
        <v>66</v>
      </c>
      <c r="I127" s="2" t="s">
        <v>47</v>
      </c>
      <c r="J127" s="2">
        <v>151300.17000000001</v>
      </c>
      <c r="K127" s="2" t="s">
        <v>22</v>
      </c>
      <c r="L127" s="3">
        <v>45591</v>
      </c>
      <c r="M127" s="2" t="s">
        <v>23</v>
      </c>
      <c r="N127" s="2">
        <v>2103522.29</v>
      </c>
      <c r="O127" s="2" t="s">
        <v>24</v>
      </c>
      <c r="P127" t="str">
        <f>TEXT(Table1[[#This Row],[Transaction Date]],"mmm")</f>
        <v>Oct</v>
      </c>
    </row>
    <row r="128" spans="1:16" ht="15.75" customHeight="1" x14ac:dyDescent="0.3">
      <c r="A128" s="2" t="s">
        <v>341</v>
      </c>
      <c r="B128" s="2">
        <v>275035</v>
      </c>
      <c r="C128" s="2" t="s">
        <v>342</v>
      </c>
      <c r="D128" s="2">
        <v>880276020182</v>
      </c>
      <c r="E128" s="2" t="s">
        <v>17</v>
      </c>
      <c r="F128" s="2" t="s">
        <v>18</v>
      </c>
      <c r="G128" s="2" t="s">
        <v>19</v>
      </c>
      <c r="H128" s="2" t="s">
        <v>20</v>
      </c>
      <c r="I128" s="2" t="s">
        <v>52</v>
      </c>
      <c r="J128" s="2">
        <v>459795.81</v>
      </c>
      <c r="K128" s="2" t="s">
        <v>48</v>
      </c>
      <c r="L128" s="3">
        <v>45724</v>
      </c>
      <c r="M128" s="2" t="s">
        <v>23</v>
      </c>
      <c r="N128" s="2">
        <v>727378.75</v>
      </c>
      <c r="O128" s="2" t="s">
        <v>24</v>
      </c>
      <c r="P128" t="str">
        <f>TEXT(Table1[[#This Row],[Transaction Date]],"mmm")</f>
        <v>Mar</v>
      </c>
    </row>
    <row r="129" spans="1:16" ht="15.75" customHeight="1" x14ac:dyDescent="0.3">
      <c r="A129" s="2" t="s">
        <v>343</v>
      </c>
      <c r="B129" s="2">
        <v>946700</v>
      </c>
      <c r="C129" s="2" t="s">
        <v>344</v>
      </c>
      <c r="D129" s="2">
        <v>444007230901</v>
      </c>
      <c r="E129" s="2" t="s">
        <v>17</v>
      </c>
      <c r="F129" s="2" t="s">
        <v>155</v>
      </c>
      <c r="G129" s="2" t="s">
        <v>156</v>
      </c>
      <c r="H129" s="2" t="s">
        <v>20</v>
      </c>
      <c r="I129" s="2" t="s">
        <v>47</v>
      </c>
      <c r="J129" s="2">
        <v>234750.67</v>
      </c>
      <c r="K129" s="2" t="s">
        <v>38</v>
      </c>
      <c r="L129" s="3">
        <v>45620</v>
      </c>
      <c r="M129" s="2" t="s">
        <v>23</v>
      </c>
      <c r="N129" s="2">
        <v>1655537.9</v>
      </c>
      <c r="O129" s="2" t="s">
        <v>24</v>
      </c>
      <c r="P129" t="str">
        <f>TEXT(Table1[[#This Row],[Transaction Date]],"mmm")</f>
        <v>Nov</v>
      </c>
    </row>
    <row r="130" spans="1:16" ht="15.75" customHeight="1" x14ac:dyDescent="0.3">
      <c r="A130" s="2" t="s">
        <v>345</v>
      </c>
      <c r="B130" s="2">
        <v>334468</v>
      </c>
      <c r="C130" s="2" t="s">
        <v>346</v>
      </c>
      <c r="D130" s="2">
        <v>799839515528</v>
      </c>
      <c r="E130" s="2" t="s">
        <v>63</v>
      </c>
      <c r="F130" s="2" t="s">
        <v>64</v>
      </c>
      <c r="G130" s="2" t="s">
        <v>65</v>
      </c>
      <c r="H130" s="2" t="s">
        <v>30</v>
      </c>
      <c r="I130" s="2" t="s">
        <v>47</v>
      </c>
      <c r="J130" s="2">
        <v>252952.49</v>
      </c>
      <c r="K130" s="2" t="s">
        <v>31</v>
      </c>
      <c r="L130" s="3">
        <v>45232</v>
      </c>
      <c r="M130" s="2" t="s">
        <v>23</v>
      </c>
      <c r="N130" s="2">
        <v>1472571.22</v>
      </c>
      <c r="O130" s="2" t="s">
        <v>24</v>
      </c>
      <c r="P130" t="str">
        <f>TEXT(Table1[[#This Row],[Transaction Date]],"mmm")</f>
        <v>Nov</v>
      </c>
    </row>
    <row r="131" spans="1:16" ht="15.75" customHeight="1" x14ac:dyDescent="0.3">
      <c r="A131" s="2" t="s">
        <v>347</v>
      </c>
      <c r="B131" s="2">
        <v>774637</v>
      </c>
      <c r="C131" s="2" t="s">
        <v>348</v>
      </c>
      <c r="D131" s="2">
        <v>431080009450</v>
      </c>
      <c r="E131" s="2" t="s">
        <v>63</v>
      </c>
      <c r="F131" s="2" t="s">
        <v>64</v>
      </c>
      <c r="G131" s="2" t="s">
        <v>65</v>
      </c>
      <c r="H131" s="2" t="s">
        <v>20</v>
      </c>
      <c r="I131" s="2" t="s">
        <v>21</v>
      </c>
      <c r="J131" s="2">
        <v>269429.23</v>
      </c>
      <c r="K131" s="2" t="s">
        <v>38</v>
      </c>
      <c r="L131" s="3">
        <v>45406</v>
      </c>
      <c r="M131" s="2" t="s">
        <v>23</v>
      </c>
      <c r="N131" s="2">
        <v>647570.24</v>
      </c>
      <c r="O131" s="2" t="s">
        <v>24</v>
      </c>
      <c r="P131" t="str">
        <f>TEXT(Table1[[#This Row],[Transaction Date]],"mmm")</f>
        <v>Apr</v>
      </c>
    </row>
    <row r="132" spans="1:16" ht="15.75" customHeight="1" x14ac:dyDescent="0.3">
      <c r="A132" s="2" t="s">
        <v>349</v>
      </c>
      <c r="B132" s="2">
        <v>851296</v>
      </c>
      <c r="C132" s="2" t="s">
        <v>350</v>
      </c>
      <c r="D132" s="2">
        <v>247431431877</v>
      </c>
      <c r="E132" s="2" t="s">
        <v>17</v>
      </c>
      <c r="F132" s="2" t="s">
        <v>55</v>
      </c>
      <c r="G132" s="2" t="s">
        <v>56</v>
      </c>
      <c r="H132" s="2" t="s">
        <v>66</v>
      </c>
      <c r="I132" s="2" t="s">
        <v>47</v>
      </c>
      <c r="J132" s="2">
        <v>193920.04</v>
      </c>
      <c r="K132" s="2" t="s">
        <v>31</v>
      </c>
      <c r="L132" s="3">
        <v>45120</v>
      </c>
      <c r="M132" s="2" t="s">
        <v>23</v>
      </c>
      <c r="N132" s="2">
        <v>1796676.19</v>
      </c>
      <c r="O132" s="2" t="s">
        <v>24</v>
      </c>
      <c r="P132" t="str">
        <f>TEXT(Table1[[#This Row],[Transaction Date]],"mmm")</f>
        <v>Jul</v>
      </c>
    </row>
    <row r="133" spans="1:16" ht="15.75" customHeight="1" x14ac:dyDescent="0.3">
      <c r="A133" s="2" t="s">
        <v>351</v>
      </c>
      <c r="B133" s="2">
        <v>322365</v>
      </c>
      <c r="C133" s="2" t="s">
        <v>352</v>
      </c>
      <c r="D133" s="2">
        <v>265051585781</v>
      </c>
      <c r="E133" s="2" t="s">
        <v>34</v>
      </c>
      <c r="F133" s="2" t="s">
        <v>41</v>
      </c>
      <c r="G133" s="2" t="s">
        <v>42</v>
      </c>
      <c r="H133" s="2" t="s">
        <v>69</v>
      </c>
      <c r="I133" s="2" t="s">
        <v>37</v>
      </c>
      <c r="J133" s="2">
        <v>56240.77</v>
      </c>
      <c r="K133" s="2" t="s">
        <v>48</v>
      </c>
      <c r="L133" s="3">
        <v>45441</v>
      </c>
      <c r="M133" s="2" t="s">
        <v>23</v>
      </c>
      <c r="N133" s="2">
        <v>1542002.49</v>
      </c>
      <c r="O133" s="2" t="s">
        <v>24</v>
      </c>
      <c r="P133" t="str">
        <f>TEXT(Table1[[#This Row],[Transaction Date]],"mmm")</f>
        <v>May</v>
      </c>
    </row>
    <row r="134" spans="1:16" ht="15.75" customHeight="1" x14ac:dyDescent="0.3">
      <c r="A134" s="2" t="s">
        <v>353</v>
      </c>
      <c r="B134" s="2">
        <v>935644</v>
      </c>
      <c r="C134" s="2" t="s">
        <v>354</v>
      </c>
      <c r="D134" s="2">
        <v>177523340140</v>
      </c>
      <c r="E134" s="2" t="s">
        <v>34</v>
      </c>
      <c r="F134" s="2" t="s">
        <v>135</v>
      </c>
      <c r="G134" s="2" t="s">
        <v>136</v>
      </c>
      <c r="H134" s="2" t="s">
        <v>20</v>
      </c>
      <c r="I134" s="2" t="s">
        <v>21</v>
      </c>
      <c r="J134" s="2">
        <v>596395.99</v>
      </c>
      <c r="K134" s="2" t="s">
        <v>31</v>
      </c>
      <c r="L134" s="3">
        <v>45698</v>
      </c>
      <c r="M134" s="2" t="s">
        <v>112</v>
      </c>
      <c r="N134" s="2">
        <v>1639467.16</v>
      </c>
      <c r="O134" s="2" t="s">
        <v>24</v>
      </c>
      <c r="P134" t="str">
        <f>TEXT(Table1[[#This Row],[Transaction Date]],"mmm")</f>
        <v>Feb</v>
      </c>
    </row>
    <row r="135" spans="1:16" ht="15.75" customHeight="1" x14ac:dyDescent="0.3">
      <c r="A135" s="2" t="s">
        <v>355</v>
      </c>
      <c r="B135" s="2">
        <v>945657</v>
      </c>
      <c r="C135" s="2" t="s">
        <v>356</v>
      </c>
      <c r="D135" s="2">
        <v>792853366341</v>
      </c>
      <c r="E135" s="2" t="s">
        <v>90</v>
      </c>
      <c r="F135" s="2" t="s">
        <v>104</v>
      </c>
      <c r="G135" s="2" t="s">
        <v>105</v>
      </c>
      <c r="H135" s="2" t="s">
        <v>30</v>
      </c>
      <c r="I135" s="2" t="s">
        <v>47</v>
      </c>
      <c r="J135" s="2">
        <v>55038.21</v>
      </c>
      <c r="K135" s="2" t="s">
        <v>48</v>
      </c>
      <c r="L135" s="3">
        <v>45563</v>
      </c>
      <c r="M135" s="2" t="s">
        <v>23</v>
      </c>
      <c r="N135" s="2">
        <v>1811889.41</v>
      </c>
      <c r="O135" s="2" t="s">
        <v>24</v>
      </c>
      <c r="P135" t="str">
        <f>TEXT(Table1[[#This Row],[Transaction Date]],"mmm")</f>
        <v>Sep</v>
      </c>
    </row>
    <row r="136" spans="1:16" ht="15.75" customHeight="1" x14ac:dyDescent="0.3">
      <c r="A136" s="2" t="s">
        <v>357</v>
      </c>
      <c r="B136" s="2">
        <v>752028</v>
      </c>
      <c r="C136" s="2" t="s">
        <v>358</v>
      </c>
      <c r="D136" s="2">
        <v>805666817485</v>
      </c>
      <c r="E136" s="2" t="s">
        <v>17</v>
      </c>
      <c r="F136" s="2" t="s">
        <v>155</v>
      </c>
      <c r="G136" s="2" t="s">
        <v>156</v>
      </c>
      <c r="H136" s="2" t="s">
        <v>69</v>
      </c>
      <c r="I136" s="2" t="s">
        <v>47</v>
      </c>
      <c r="J136" s="2">
        <v>115885.54</v>
      </c>
      <c r="K136" s="2" t="s">
        <v>22</v>
      </c>
      <c r="L136" s="3">
        <v>45358</v>
      </c>
      <c r="M136" s="2" t="s">
        <v>23</v>
      </c>
      <c r="N136" s="2">
        <v>1391066.47</v>
      </c>
      <c r="O136" s="2" t="s">
        <v>24</v>
      </c>
      <c r="P136" t="str">
        <f>TEXT(Table1[[#This Row],[Transaction Date]],"mmm")</f>
        <v>Mar</v>
      </c>
    </row>
    <row r="137" spans="1:16" ht="15.75" customHeight="1" x14ac:dyDescent="0.3">
      <c r="A137" s="2" t="s">
        <v>359</v>
      </c>
      <c r="B137" s="2">
        <v>751030</v>
      </c>
      <c r="C137" s="2" t="s">
        <v>360</v>
      </c>
      <c r="D137" s="2">
        <v>990579280992</v>
      </c>
      <c r="E137" s="2" t="s">
        <v>63</v>
      </c>
      <c r="F137" s="2" t="s">
        <v>64</v>
      </c>
      <c r="G137" s="2" t="s">
        <v>65</v>
      </c>
      <c r="H137" s="2" t="s">
        <v>69</v>
      </c>
      <c r="I137" s="2" t="s">
        <v>21</v>
      </c>
      <c r="J137" s="2">
        <v>526549.79</v>
      </c>
      <c r="K137" s="2" t="s">
        <v>97</v>
      </c>
      <c r="L137" s="3">
        <v>45749</v>
      </c>
      <c r="M137" s="2" t="s">
        <v>23</v>
      </c>
      <c r="N137" s="2">
        <v>1574601.6</v>
      </c>
      <c r="O137" s="2" t="s">
        <v>24</v>
      </c>
      <c r="P137" t="str">
        <f>TEXT(Table1[[#This Row],[Transaction Date]],"mmm")</f>
        <v>Apr</v>
      </c>
    </row>
    <row r="138" spans="1:16" ht="15.75" customHeight="1" x14ac:dyDescent="0.3">
      <c r="A138" s="2" t="s">
        <v>361</v>
      </c>
      <c r="B138" s="2">
        <v>728256</v>
      </c>
      <c r="C138" s="2" t="s">
        <v>362</v>
      </c>
      <c r="D138" s="2">
        <v>824494447566</v>
      </c>
      <c r="E138" s="2" t="s">
        <v>17</v>
      </c>
      <c r="F138" s="2" t="s">
        <v>18</v>
      </c>
      <c r="G138" s="2" t="s">
        <v>19</v>
      </c>
      <c r="H138" s="2" t="s">
        <v>66</v>
      </c>
      <c r="I138" s="2" t="s">
        <v>37</v>
      </c>
      <c r="J138" s="2">
        <v>44496.26</v>
      </c>
      <c r="K138" s="2" t="s">
        <v>38</v>
      </c>
      <c r="L138" s="3">
        <v>45536</v>
      </c>
      <c r="M138" s="2" t="s">
        <v>23</v>
      </c>
      <c r="N138" s="2">
        <v>1439911.83</v>
      </c>
      <c r="O138" s="2" t="s">
        <v>24</v>
      </c>
      <c r="P138" t="str">
        <f>TEXT(Table1[[#This Row],[Transaction Date]],"mmm")</f>
        <v>Sep</v>
      </c>
    </row>
    <row r="139" spans="1:16" ht="15.75" customHeight="1" x14ac:dyDescent="0.3">
      <c r="A139" s="2" t="s">
        <v>363</v>
      </c>
      <c r="B139" s="2">
        <v>647407</v>
      </c>
      <c r="C139" s="2" t="s">
        <v>364</v>
      </c>
      <c r="D139" s="2">
        <v>859240583067</v>
      </c>
      <c r="E139" s="2" t="s">
        <v>90</v>
      </c>
      <c r="F139" s="2" t="s">
        <v>129</v>
      </c>
      <c r="G139" s="2" t="s">
        <v>130</v>
      </c>
      <c r="H139" s="2" t="s">
        <v>66</v>
      </c>
      <c r="I139" s="2" t="s">
        <v>47</v>
      </c>
      <c r="J139" s="2">
        <v>163254.69</v>
      </c>
      <c r="K139" s="2" t="s">
        <v>48</v>
      </c>
      <c r="L139" s="3">
        <v>45330</v>
      </c>
      <c r="M139" s="2" t="s">
        <v>23</v>
      </c>
      <c r="N139" s="2">
        <v>1363525.22</v>
      </c>
      <c r="O139" s="2" t="s">
        <v>24</v>
      </c>
      <c r="P139" t="str">
        <f>TEXT(Table1[[#This Row],[Transaction Date]],"mmm")</f>
        <v>Feb</v>
      </c>
    </row>
    <row r="140" spans="1:16" ht="15.75" customHeight="1" x14ac:dyDescent="0.3">
      <c r="A140" s="2" t="s">
        <v>365</v>
      </c>
      <c r="B140" s="2">
        <v>564962</v>
      </c>
      <c r="C140" s="2" t="s">
        <v>366</v>
      </c>
      <c r="D140" s="2">
        <v>462554663247</v>
      </c>
      <c r="E140" s="2" t="s">
        <v>34</v>
      </c>
      <c r="F140" s="2" t="s">
        <v>35</v>
      </c>
      <c r="G140" s="2" t="s">
        <v>36</v>
      </c>
      <c r="H140" s="2" t="s">
        <v>30</v>
      </c>
      <c r="I140" s="2" t="s">
        <v>37</v>
      </c>
      <c r="J140" s="2">
        <v>87082.25</v>
      </c>
      <c r="K140" s="2" t="s">
        <v>38</v>
      </c>
      <c r="L140" s="3">
        <v>45186</v>
      </c>
      <c r="M140" s="2" t="s">
        <v>23</v>
      </c>
      <c r="N140" s="2">
        <v>1821809.35</v>
      </c>
      <c r="O140" s="2" t="s">
        <v>24</v>
      </c>
      <c r="P140" t="str">
        <f>TEXT(Table1[[#This Row],[Transaction Date]],"mmm")</f>
        <v>Sep</v>
      </c>
    </row>
    <row r="141" spans="1:16" ht="15.75" customHeight="1" x14ac:dyDescent="0.3">
      <c r="A141" s="2" t="s">
        <v>367</v>
      </c>
      <c r="B141" s="2">
        <v>772937</v>
      </c>
      <c r="C141" s="2" t="s">
        <v>368</v>
      </c>
      <c r="D141" s="2">
        <v>424979154506</v>
      </c>
      <c r="E141" s="2" t="s">
        <v>34</v>
      </c>
      <c r="F141" s="2" t="s">
        <v>59</v>
      </c>
      <c r="G141" s="2" t="s">
        <v>60</v>
      </c>
      <c r="H141" s="2" t="s">
        <v>30</v>
      </c>
      <c r="I141" s="2" t="s">
        <v>52</v>
      </c>
      <c r="J141" s="2">
        <v>16558.98</v>
      </c>
      <c r="K141" s="2" t="s">
        <v>31</v>
      </c>
      <c r="L141" s="3">
        <v>45252</v>
      </c>
      <c r="M141" s="2" t="s">
        <v>23</v>
      </c>
      <c r="N141" s="2">
        <v>1050564.5900000001</v>
      </c>
      <c r="O141" s="2" t="s">
        <v>24</v>
      </c>
      <c r="P141" t="str">
        <f>TEXT(Table1[[#This Row],[Transaction Date]],"mmm")</f>
        <v>Nov</v>
      </c>
    </row>
    <row r="142" spans="1:16" ht="15.75" customHeight="1" x14ac:dyDescent="0.3">
      <c r="A142" s="2" t="s">
        <v>369</v>
      </c>
      <c r="B142" s="2">
        <v>653047</v>
      </c>
      <c r="C142" s="2" t="s">
        <v>370</v>
      </c>
      <c r="D142" s="2">
        <v>594804478063</v>
      </c>
      <c r="E142" s="2" t="s">
        <v>63</v>
      </c>
      <c r="F142" s="2" t="s">
        <v>145</v>
      </c>
      <c r="G142" s="2" t="s">
        <v>146</v>
      </c>
      <c r="H142" s="2" t="s">
        <v>69</v>
      </c>
      <c r="I142" s="2" t="s">
        <v>52</v>
      </c>
      <c r="J142" s="2">
        <v>118445.89</v>
      </c>
      <c r="K142" s="2" t="s">
        <v>22</v>
      </c>
      <c r="L142" s="3">
        <v>45791</v>
      </c>
      <c r="M142" s="2" t="s">
        <v>23</v>
      </c>
      <c r="N142" s="2">
        <v>1940977.35</v>
      </c>
      <c r="O142" s="2" t="s">
        <v>178</v>
      </c>
      <c r="P142" t="str">
        <f>TEXT(Table1[[#This Row],[Transaction Date]],"mmm")</f>
        <v>May</v>
      </c>
    </row>
    <row r="143" spans="1:16" ht="15.75" customHeight="1" x14ac:dyDescent="0.3">
      <c r="A143" s="2" t="s">
        <v>371</v>
      </c>
      <c r="B143" s="2">
        <v>866889</v>
      </c>
      <c r="C143" s="2" t="s">
        <v>372</v>
      </c>
      <c r="D143" s="2">
        <v>200258397818</v>
      </c>
      <c r="E143" s="2" t="s">
        <v>27</v>
      </c>
      <c r="F143" s="2" t="s">
        <v>191</v>
      </c>
      <c r="G143" s="2" t="s">
        <v>192</v>
      </c>
      <c r="H143" s="2" t="s">
        <v>30</v>
      </c>
      <c r="I143" s="2" t="s">
        <v>21</v>
      </c>
      <c r="J143" s="2">
        <v>538363.37</v>
      </c>
      <c r="K143" s="2" t="s">
        <v>31</v>
      </c>
      <c r="L143" s="3">
        <v>45238</v>
      </c>
      <c r="M143" s="2" t="s">
        <v>23</v>
      </c>
      <c r="N143" s="2">
        <v>1370478.57</v>
      </c>
      <c r="O143" s="2" t="s">
        <v>24</v>
      </c>
      <c r="P143" t="str">
        <f>TEXT(Table1[[#This Row],[Transaction Date]],"mmm")</f>
        <v>Nov</v>
      </c>
    </row>
    <row r="144" spans="1:16" ht="15.75" customHeight="1" x14ac:dyDescent="0.3">
      <c r="A144" s="2" t="s">
        <v>373</v>
      </c>
      <c r="B144" s="2">
        <v>350891</v>
      </c>
      <c r="C144" s="2" t="s">
        <v>374</v>
      </c>
      <c r="D144" s="2">
        <v>554515895107</v>
      </c>
      <c r="E144" s="2" t="s">
        <v>17</v>
      </c>
      <c r="F144" s="2" t="s">
        <v>55</v>
      </c>
      <c r="G144" s="2" t="s">
        <v>56</v>
      </c>
      <c r="H144" s="2" t="s">
        <v>30</v>
      </c>
      <c r="I144" s="2" t="s">
        <v>47</v>
      </c>
      <c r="J144" s="2">
        <v>115989.38</v>
      </c>
      <c r="K144" s="2" t="s">
        <v>22</v>
      </c>
      <c r="L144" s="3">
        <v>45691</v>
      </c>
      <c r="M144" s="2" t="s">
        <v>23</v>
      </c>
      <c r="N144" s="2">
        <v>998213.89</v>
      </c>
      <c r="O144" s="2" t="s">
        <v>24</v>
      </c>
      <c r="P144" t="str">
        <f>TEXT(Table1[[#This Row],[Transaction Date]],"mmm")</f>
        <v>Feb</v>
      </c>
    </row>
    <row r="145" spans="1:16" ht="15.75" customHeight="1" x14ac:dyDescent="0.3">
      <c r="A145" s="2" t="s">
        <v>375</v>
      </c>
      <c r="B145" s="2">
        <v>882580</v>
      </c>
      <c r="C145" s="2" t="s">
        <v>376</v>
      </c>
      <c r="D145" s="2">
        <v>551881289169</v>
      </c>
      <c r="E145" s="2" t="s">
        <v>90</v>
      </c>
      <c r="F145" s="2" t="s">
        <v>129</v>
      </c>
      <c r="G145" s="2" t="s">
        <v>130</v>
      </c>
      <c r="H145" s="2" t="s">
        <v>66</v>
      </c>
      <c r="I145" s="2" t="s">
        <v>37</v>
      </c>
      <c r="J145" s="2">
        <v>118044.41</v>
      </c>
      <c r="K145" s="2" t="s">
        <v>31</v>
      </c>
      <c r="L145" s="3">
        <v>45727</v>
      </c>
      <c r="M145" s="2" t="s">
        <v>23</v>
      </c>
      <c r="N145" s="2">
        <v>866095.88</v>
      </c>
      <c r="O145" s="2" t="s">
        <v>24</v>
      </c>
      <c r="P145" t="str">
        <f>TEXT(Table1[[#This Row],[Transaction Date]],"mmm")</f>
        <v>Mar</v>
      </c>
    </row>
    <row r="146" spans="1:16" ht="15.75" customHeight="1" x14ac:dyDescent="0.3">
      <c r="A146" s="2" t="s">
        <v>377</v>
      </c>
      <c r="B146" s="2">
        <v>658908</v>
      </c>
      <c r="C146" s="2" t="s">
        <v>378</v>
      </c>
      <c r="D146" s="2">
        <v>432189750305</v>
      </c>
      <c r="E146" s="2" t="s">
        <v>17</v>
      </c>
      <c r="F146" s="2" t="s">
        <v>155</v>
      </c>
      <c r="G146" s="2" t="s">
        <v>156</v>
      </c>
      <c r="H146" s="2" t="s">
        <v>20</v>
      </c>
      <c r="I146" s="2" t="s">
        <v>47</v>
      </c>
      <c r="J146" s="2">
        <v>75762.73</v>
      </c>
      <c r="K146" s="2" t="s">
        <v>97</v>
      </c>
      <c r="L146" s="3">
        <v>45671</v>
      </c>
      <c r="M146" s="2" t="s">
        <v>23</v>
      </c>
      <c r="N146" s="2">
        <v>646653.53</v>
      </c>
      <c r="O146" s="2" t="s">
        <v>24</v>
      </c>
      <c r="P146" t="str">
        <f>TEXT(Table1[[#This Row],[Transaction Date]],"mmm")</f>
        <v>Jan</v>
      </c>
    </row>
    <row r="147" spans="1:16" ht="15.75" customHeight="1" x14ac:dyDescent="0.3">
      <c r="A147" s="2" t="s">
        <v>379</v>
      </c>
      <c r="B147" s="2">
        <v>995453</v>
      </c>
      <c r="C147" s="2" t="s">
        <v>380</v>
      </c>
      <c r="D147" s="2">
        <v>548282814998</v>
      </c>
      <c r="E147" s="2" t="s">
        <v>34</v>
      </c>
      <c r="F147" s="2" t="s">
        <v>41</v>
      </c>
      <c r="G147" s="2" t="s">
        <v>42</v>
      </c>
      <c r="H147" s="2" t="s">
        <v>30</v>
      </c>
      <c r="I147" s="2" t="s">
        <v>52</v>
      </c>
      <c r="J147" s="2">
        <v>469955.81</v>
      </c>
      <c r="K147" s="2" t="s">
        <v>22</v>
      </c>
      <c r="L147" s="3">
        <v>45682</v>
      </c>
      <c r="M147" s="2" t="s">
        <v>23</v>
      </c>
      <c r="N147" s="2">
        <v>2048155.91</v>
      </c>
      <c r="O147" s="2" t="s">
        <v>24</v>
      </c>
      <c r="P147" t="str">
        <f>TEXT(Table1[[#This Row],[Transaction Date]],"mmm")</f>
        <v>Jan</v>
      </c>
    </row>
    <row r="148" spans="1:16" ht="15.75" customHeight="1" x14ac:dyDescent="0.3">
      <c r="A148" s="2" t="s">
        <v>381</v>
      </c>
      <c r="B148" s="2">
        <v>481552</v>
      </c>
      <c r="C148" s="2" t="s">
        <v>382</v>
      </c>
      <c r="D148" s="2">
        <v>599383994938</v>
      </c>
      <c r="E148" s="2" t="s">
        <v>17</v>
      </c>
      <c r="F148" s="2" t="s">
        <v>45</v>
      </c>
      <c r="G148" s="2" t="s">
        <v>46</v>
      </c>
      <c r="H148" s="2" t="s">
        <v>20</v>
      </c>
      <c r="I148" s="2" t="s">
        <v>21</v>
      </c>
      <c r="J148" s="2">
        <v>147489.57999999999</v>
      </c>
      <c r="K148" s="2" t="s">
        <v>38</v>
      </c>
      <c r="L148" s="3">
        <v>45122</v>
      </c>
      <c r="M148" s="2" t="s">
        <v>23</v>
      </c>
      <c r="N148" s="2">
        <v>1667932.38</v>
      </c>
      <c r="O148" s="2" t="s">
        <v>24</v>
      </c>
      <c r="P148" t="str">
        <f>TEXT(Table1[[#This Row],[Transaction Date]],"mmm")</f>
        <v>Jul</v>
      </c>
    </row>
    <row r="149" spans="1:16" ht="15.75" customHeight="1" x14ac:dyDescent="0.3">
      <c r="A149" s="2" t="s">
        <v>383</v>
      </c>
      <c r="B149" s="2">
        <v>946300</v>
      </c>
      <c r="C149" s="2" t="s">
        <v>384</v>
      </c>
      <c r="D149" s="2">
        <v>118420256517</v>
      </c>
      <c r="E149" s="2" t="s">
        <v>17</v>
      </c>
      <c r="F149" s="2" t="s">
        <v>86</v>
      </c>
      <c r="G149" s="2" t="s">
        <v>87</v>
      </c>
      <c r="H149" s="2" t="s">
        <v>66</v>
      </c>
      <c r="I149" s="2" t="s">
        <v>37</v>
      </c>
      <c r="J149" s="2">
        <v>133972.62</v>
      </c>
      <c r="K149" s="2" t="s">
        <v>97</v>
      </c>
      <c r="L149" s="3">
        <v>45679</v>
      </c>
      <c r="M149" s="2" t="s">
        <v>23</v>
      </c>
      <c r="N149" s="2">
        <v>412865.25</v>
      </c>
      <c r="O149" s="2" t="s">
        <v>24</v>
      </c>
      <c r="P149" t="str">
        <f>TEXT(Table1[[#This Row],[Transaction Date]],"mmm")</f>
        <v>Jan</v>
      </c>
    </row>
    <row r="150" spans="1:16" ht="15.75" customHeight="1" x14ac:dyDescent="0.3">
      <c r="A150" s="2" t="s">
        <v>385</v>
      </c>
      <c r="B150" s="2">
        <v>358049</v>
      </c>
      <c r="C150" s="2" t="s">
        <v>386</v>
      </c>
      <c r="D150" s="2">
        <v>499277122705</v>
      </c>
      <c r="E150" s="2" t="s">
        <v>34</v>
      </c>
      <c r="F150" s="2" t="s">
        <v>35</v>
      </c>
      <c r="G150" s="2" t="s">
        <v>36</v>
      </c>
      <c r="H150" s="2" t="s">
        <v>30</v>
      </c>
      <c r="I150" s="2" t="s">
        <v>52</v>
      </c>
      <c r="J150" s="2">
        <v>406154.8</v>
      </c>
      <c r="K150" s="2" t="s">
        <v>48</v>
      </c>
      <c r="L150" s="3">
        <v>45466</v>
      </c>
      <c r="M150" s="2" t="s">
        <v>23</v>
      </c>
      <c r="N150" s="2">
        <v>2345208.34</v>
      </c>
      <c r="O150" s="2" t="s">
        <v>24</v>
      </c>
      <c r="P150" t="str">
        <f>TEXT(Table1[[#This Row],[Transaction Date]],"mmm")</f>
        <v>Jun</v>
      </c>
    </row>
    <row r="151" spans="1:16" ht="15.75" customHeight="1" x14ac:dyDescent="0.3">
      <c r="A151" s="2" t="s">
        <v>387</v>
      </c>
      <c r="B151" s="2">
        <v>579752</v>
      </c>
      <c r="C151" s="2" t="s">
        <v>388</v>
      </c>
      <c r="D151" s="2">
        <v>185223890909</v>
      </c>
      <c r="E151" s="2" t="s">
        <v>34</v>
      </c>
      <c r="F151" s="2" t="s">
        <v>72</v>
      </c>
      <c r="G151" s="2" t="s">
        <v>73</v>
      </c>
      <c r="H151" s="2" t="s">
        <v>69</v>
      </c>
      <c r="I151" s="2" t="s">
        <v>52</v>
      </c>
      <c r="J151" s="2">
        <v>92892.9</v>
      </c>
      <c r="K151" s="2" t="s">
        <v>31</v>
      </c>
      <c r="L151" s="3">
        <v>45153</v>
      </c>
      <c r="M151" s="2" t="s">
        <v>23</v>
      </c>
      <c r="N151" s="2">
        <v>164830.29999999999</v>
      </c>
      <c r="O151" s="2" t="s">
        <v>24</v>
      </c>
      <c r="P151" t="str">
        <f>TEXT(Table1[[#This Row],[Transaction Date]],"mmm")</f>
        <v>Aug</v>
      </c>
    </row>
    <row r="152" spans="1:16" ht="15.75" customHeight="1" x14ac:dyDescent="0.3">
      <c r="A152" s="2" t="s">
        <v>389</v>
      </c>
      <c r="B152" s="2">
        <v>982731</v>
      </c>
      <c r="C152" s="2" t="s">
        <v>390</v>
      </c>
      <c r="D152" s="2">
        <v>126451823883</v>
      </c>
      <c r="E152" s="2" t="s">
        <v>63</v>
      </c>
      <c r="F152" s="2" t="s">
        <v>64</v>
      </c>
      <c r="G152" s="2" t="s">
        <v>65</v>
      </c>
      <c r="H152" s="2" t="s">
        <v>30</v>
      </c>
      <c r="I152" s="2" t="s">
        <v>52</v>
      </c>
      <c r="J152" s="2">
        <v>193006.63</v>
      </c>
      <c r="K152" s="2" t="s">
        <v>31</v>
      </c>
      <c r="L152" s="3">
        <v>45192</v>
      </c>
      <c r="M152" s="2" t="s">
        <v>23</v>
      </c>
      <c r="N152" s="2">
        <v>670537.15</v>
      </c>
      <c r="O152" s="2" t="s">
        <v>24</v>
      </c>
      <c r="P152" t="str">
        <f>TEXT(Table1[[#This Row],[Transaction Date]],"mmm")</f>
        <v>Sep</v>
      </c>
    </row>
    <row r="153" spans="1:16" ht="15.75" customHeight="1" x14ac:dyDescent="0.3">
      <c r="A153" s="2" t="s">
        <v>391</v>
      </c>
      <c r="B153" s="2">
        <v>695378</v>
      </c>
      <c r="C153" s="2" t="s">
        <v>392</v>
      </c>
      <c r="D153" s="2">
        <v>464662276260</v>
      </c>
      <c r="E153" s="2" t="s">
        <v>90</v>
      </c>
      <c r="F153" s="2" t="s">
        <v>108</v>
      </c>
      <c r="G153" s="2" t="s">
        <v>109</v>
      </c>
      <c r="H153" s="2" t="s">
        <v>69</v>
      </c>
      <c r="I153" s="2" t="s">
        <v>21</v>
      </c>
      <c r="J153" s="2">
        <v>160451.89000000001</v>
      </c>
      <c r="K153" s="2" t="s">
        <v>31</v>
      </c>
      <c r="L153" s="3">
        <v>45735</v>
      </c>
      <c r="M153" s="2" t="s">
        <v>23</v>
      </c>
      <c r="N153" s="2">
        <v>310616.62</v>
      </c>
      <c r="O153" s="2" t="s">
        <v>24</v>
      </c>
      <c r="P153" t="str">
        <f>TEXT(Table1[[#This Row],[Transaction Date]],"mmm")</f>
        <v>Mar</v>
      </c>
    </row>
    <row r="154" spans="1:16" ht="15.75" customHeight="1" x14ac:dyDescent="0.3">
      <c r="A154" s="2" t="s">
        <v>393</v>
      </c>
      <c r="B154" s="2">
        <v>749260</v>
      </c>
      <c r="C154" s="2" t="s">
        <v>394</v>
      </c>
      <c r="D154" s="2">
        <v>924783774270</v>
      </c>
      <c r="E154" s="2" t="s">
        <v>63</v>
      </c>
      <c r="F154" s="2" t="s">
        <v>165</v>
      </c>
      <c r="G154" s="2" t="s">
        <v>166</v>
      </c>
      <c r="H154" s="2" t="s">
        <v>69</v>
      </c>
      <c r="I154" s="2" t="s">
        <v>47</v>
      </c>
      <c r="J154" s="2">
        <v>277196.03000000003</v>
      </c>
      <c r="K154" s="2" t="s">
        <v>31</v>
      </c>
      <c r="L154" s="3">
        <v>45430</v>
      </c>
      <c r="M154" s="2" t="s">
        <v>167</v>
      </c>
      <c r="N154" s="2">
        <v>707859.62000000011</v>
      </c>
      <c r="O154" s="2" t="s">
        <v>24</v>
      </c>
      <c r="P154" t="str">
        <f>TEXT(Table1[[#This Row],[Transaction Date]],"mmm")</f>
        <v>May</v>
      </c>
    </row>
    <row r="155" spans="1:16" ht="15.75" customHeight="1" x14ac:dyDescent="0.3">
      <c r="A155" s="2" t="s">
        <v>395</v>
      </c>
      <c r="B155" s="2">
        <v>957981</v>
      </c>
      <c r="C155" s="2" t="s">
        <v>396</v>
      </c>
      <c r="D155" s="2">
        <v>855946759203</v>
      </c>
      <c r="E155" s="2" t="s">
        <v>63</v>
      </c>
      <c r="F155" s="2" t="s">
        <v>145</v>
      </c>
      <c r="G155" s="2" t="s">
        <v>146</v>
      </c>
      <c r="H155" s="2" t="s">
        <v>20</v>
      </c>
      <c r="I155" s="2" t="s">
        <v>52</v>
      </c>
      <c r="J155" s="2">
        <v>69841.899999999994</v>
      </c>
      <c r="K155" s="2" t="s">
        <v>48</v>
      </c>
      <c r="L155" s="3">
        <v>45632</v>
      </c>
      <c r="M155" s="2" t="s">
        <v>23</v>
      </c>
      <c r="N155" s="2">
        <v>891749.57000000007</v>
      </c>
      <c r="O155" s="2" t="s">
        <v>24</v>
      </c>
      <c r="P155" t="str">
        <f>TEXT(Table1[[#This Row],[Transaction Date]],"mmm")</f>
        <v>Dec</v>
      </c>
    </row>
    <row r="156" spans="1:16" ht="15.75" customHeight="1" x14ac:dyDescent="0.3">
      <c r="A156" s="2" t="s">
        <v>397</v>
      </c>
      <c r="B156" s="2">
        <v>893415</v>
      </c>
      <c r="C156" s="2" t="s">
        <v>398</v>
      </c>
      <c r="D156" s="2">
        <v>956396989936</v>
      </c>
      <c r="E156" s="2" t="s">
        <v>27</v>
      </c>
      <c r="F156" s="2" t="s">
        <v>28</v>
      </c>
      <c r="G156" s="2" t="s">
        <v>29</v>
      </c>
      <c r="H156" s="2" t="s">
        <v>69</v>
      </c>
      <c r="I156" s="2" t="s">
        <v>21</v>
      </c>
      <c r="J156" s="2">
        <v>267487.64</v>
      </c>
      <c r="K156" s="2" t="s">
        <v>31</v>
      </c>
      <c r="L156" s="3">
        <v>45677</v>
      </c>
      <c r="M156" s="2" t="s">
        <v>23</v>
      </c>
      <c r="N156" s="2">
        <v>2062972.87</v>
      </c>
      <c r="O156" s="2" t="s">
        <v>24</v>
      </c>
      <c r="P156" t="str">
        <f>TEXT(Table1[[#This Row],[Transaction Date]],"mmm")</f>
        <v>Jan</v>
      </c>
    </row>
    <row r="157" spans="1:16" ht="15.75" customHeight="1" x14ac:dyDescent="0.3">
      <c r="A157" s="2" t="s">
        <v>399</v>
      </c>
      <c r="B157" s="2">
        <v>270470</v>
      </c>
      <c r="C157" s="2" t="s">
        <v>400</v>
      </c>
      <c r="D157" s="2">
        <v>194148450617</v>
      </c>
      <c r="E157" s="2" t="s">
        <v>17</v>
      </c>
      <c r="F157" s="2" t="s">
        <v>86</v>
      </c>
      <c r="G157" s="2" t="s">
        <v>87</v>
      </c>
      <c r="H157" s="2" t="s">
        <v>30</v>
      </c>
      <c r="I157" s="2" t="s">
        <v>52</v>
      </c>
      <c r="J157" s="2">
        <v>70696.570000000007</v>
      </c>
      <c r="K157" s="2" t="s">
        <v>31</v>
      </c>
      <c r="L157" s="3">
        <v>45595</v>
      </c>
      <c r="M157" s="2" t="s">
        <v>23</v>
      </c>
      <c r="N157" s="2">
        <v>102989.25</v>
      </c>
      <c r="O157" s="2" t="s">
        <v>24</v>
      </c>
      <c r="P157" t="str">
        <f>TEXT(Table1[[#This Row],[Transaction Date]],"mmm")</f>
        <v>Oct</v>
      </c>
    </row>
    <row r="158" spans="1:16" ht="15.75" customHeight="1" x14ac:dyDescent="0.3">
      <c r="A158" s="2" t="s">
        <v>401</v>
      </c>
      <c r="B158" s="2">
        <v>775874</v>
      </c>
      <c r="C158" s="2" t="s">
        <v>402</v>
      </c>
      <c r="D158" s="2">
        <v>113624287115</v>
      </c>
      <c r="E158" s="2" t="s">
        <v>27</v>
      </c>
      <c r="F158" s="2" t="s">
        <v>149</v>
      </c>
      <c r="G158" s="2" t="s">
        <v>150</v>
      </c>
      <c r="H158" s="2" t="s">
        <v>20</v>
      </c>
      <c r="I158" s="2" t="s">
        <v>37</v>
      </c>
      <c r="J158" s="2">
        <v>111768.05</v>
      </c>
      <c r="K158" s="2" t="s">
        <v>31</v>
      </c>
      <c r="L158" s="3">
        <v>45761</v>
      </c>
      <c r="M158" s="2" t="s">
        <v>23</v>
      </c>
      <c r="N158" s="2">
        <v>1778008.15</v>
      </c>
      <c r="O158" s="2" t="s">
        <v>24</v>
      </c>
      <c r="P158" t="str">
        <f>TEXT(Table1[[#This Row],[Transaction Date]],"mmm")</f>
        <v>Apr</v>
      </c>
    </row>
    <row r="159" spans="1:16" ht="15.75" customHeight="1" x14ac:dyDescent="0.3">
      <c r="A159" s="2" t="s">
        <v>403</v>
      </c>
      <c r="B159" s="2">
        <v>264651</v>
      </c>
      <c r="C159" s="2" t="s">
        <v>404</v>
      </c>
      <c r="D159" s="2">
        <v>687564757084</v>
      </c>
      <c r="E159" s="2" t="s">
        <v>63</v>
      </c>
      <c r="F159" s="2" t="s">
        <v>64</v>
      </c>
      <c r="G159" s="2" t="s">
        <v>65</v>
      </c>
      <c r="H159" s="2" t="s">
        <v>66</v>
      </c>
      <c r="I159" s="2" t="s">
        <v>47</v>
      </c>
      <c r="J159" s="2">
        <v>185535.98</v>
      </c>
      <c r="K159" s="2" t="s">
        <v>48</v>
      </c>
      <c r="L159" s="3">
        <v>45734</v>
      </c>
      <c r="M159" s="2" t="s">
        <v>23</v>
      </c>
      <c r="N159" s="2">
        <v>594950.13</v>
      </c>
      <c r="O159" s="2" t="s">
        <v>24</v>
      </c>
      <c r="P159" t="str">
        <f>TEXT(Table1[[#This Row],[Transaction Date]],"mmm")</f>
        <v>Mar</v>
      </c>
    </row>
    <row r="160" spans="1:16" ht="15.75" customHeight="1" x14ac:dyDescent="0.3">
      <c r="A160" s="2" t="s">
        <v>405</v>
      </c>
      <c r="B160" s="2">
        <v>464154</v>
      </c>
      <c r="C160" s="2" t="s">
        <v>406</v>
      </c>
      <c r="D160" s="2">
        <v>219059604533</v>
      </c>
      <c r="E160" s="2" t="s">
        <v>63</v>
      </c>
      <c r="F160" s="2" t="s">
        <v>176</v>
      </c>
      <c r="G160" s="2" t="s">
        <v>177</v>
      </c>
      <c r="H160" s="2" t="s">
        <v>30</v>
      </c>
      <c r="I160" s="2" t="s">
        <v>21</v>
      </c>
      <c r="J160" s="2">
        <v>443617.87</v>
      </c>
      <c r="K160" s="2" t="s">
        <v>48</v>
      </c>
      <c r="L160" s="3">
        <v>45567</v>
      </c>
      <c r="M160" s="2" t="s">
        <v>23</v>
      </c>
      <c r="N160" s="2">
        <v>797962.84</v>
      </c>
      <c r="O160" s="2" t="s">
        <v>24</v>
      </c>
      <c r="P160" t="str">
        <f>TEXT(Table1[[#This Row],[Transaction Date]],"mmm")</f>
        <v>Oct</v>
      </c>
    </row>
    <row r="161" spans="1:16" ht="15.75" customHeight="1" x14ac:dyDescent="0.3">
      <c r="A161" s="2" t="s">
        <v>407</v>
      </c>
      <c r="B161" s="2">
        <v>146344</v>
      </c>
      <c r="C161" s="2" t="s">
        <v>408</v>
      </c>
      <c r="D161" s="2">
        <v>802060333395</v>
      </c>
      <c r="E161" s="2" t="s">
        <v>27</v>
      </c>
      <c r="F161" s="2" t="s">
        <v>191</v>
      </c>
      <c r="G161" s="2" t="s">
        <v>192</v>
      </c>
      <c r="H161" s="2" t="s">
        <v>20</v>
      </c>
      <c r="I161" s="2" t="s">
        <v>52</v>
      </c>
      <c r="J161" s="2">
        <v>21505.02</v>
      </c>
      <c r="K161" s="2" t="s">
        <v>97</v>
      </c>
      <c r="L161" s="3">
        <v>45171</v>
      </c>
      <c r="M161" s="2" t="s">
        <v>23</v>
      </c>
      <c r="N161" s="2">
        <v>1932874.96</v>
      </c>
      <c r="O161" s="2" t="s">
        <v>24</v>
      </c>
      <c r="P161" t="str">
        <f>TEXT(Table1[[#This Row],[Transaction Date]],"mmm")</f>
        <v>Sep</v>
      </c>
    </row>
    <row r="162" spans="1:16" ht="15.75" customHeight="1" x14ac:dyDescent="0.3">
      <c r="A162" s="2" t="s">
        <v>409</v>
      </c>
      <c r="B162" s="2">
        <v>575179</v>
      </c>
      <c r="C162" s="2" t="s">
        <v>410</v>
      </c>
      <c r="D162" s="2">
        <v>950574724598</v>
      </c>
      <c r="E162" s="2" t="s">
        <v>17</v>
      </c>
      <c r="F162" s="2" t="s">
        <v>45</v>
      </c>
      <c r="G162" s="2" t="s">
        <v>46</v>
      </c>
      <c r="H162" s="2" t="s">
        <v>66</v>
      </c>
      <c r="I162" s="2" t="s">
        <v>47</v>
      </c>
      <c r="J162" s="2">
        <v>41041.120000000003</v>
      </c>
      <c r="K162" s="2" t="s">
        <v>22</v>
      </c>
      <c r="L162" s="3">
        <v>45794</v>
      </c>
      <c r="M162" s="2" t="s">
        <v>23</v>
      </c>
      <c r="N162" s="2">
        <v>137008.63</v>
      </c>
      <c r="O162" s="2" t="s">
        <v>24</v>
      </c>
      <c r="P162" t="str">
        <f>TEXT(Table1[[#This Row],[Transaction Date]],"mmm")</f>
        <v>May</v>
      </c>
    </row>
    <row r="163" spans="1:16" ht="15.75" customHeight="1" x14ac:dyDescent="0.3">
      <c r="A163" s="2" t="s">
        <v>411</v>
      </c>
      <c r="B163" s="2">
        <v>721340</v>
      </c>
      <c r="C163" s="2" t="s">
        <v>412</v>
      </c>
      <c r="D163" s="2">
        <v>555966315099</v>
      </c>
      <c r="E163" s="2" t="s">
        <v>17</v>
      </c>
      <c r="F163" s="2" t="s">
        <v>55</v>
      </c>
      <c r="G163" s="2" t="s">
        <v>56</v>
      </c>
      <c r="H163" s="2" t="s">
        <v>30</v>
      </c>
      <c r="I163" s="2" t="s">
        <v>37</v>
      </c>
      <c r="J163" s="2">
        <v>127514.79</v>
      </c>
      <c r="K163" s="2" t="s">
        <v>97</v>
      </c>
      <c r="L163" s="3">
        <v>45275</v>
      </c>
      <c r="M163" s="2" t="s">
        <v>112</v>
      </c>
      <c r="N163" s="2">
        <v>970456.09999999986</v>
      </c>
      <c r="O163" s="2" t="s">
        <v>24</v>
      </c>
      <c r="P163" t="str">
        <f>TEXT(Table1[[#This Row],[Transaction Date]],"mmm")</f>
        <v>Dec</v>
      </c>
    </row>
    <row r="164" spans="1:16" ht="15.75" customHeight="1" x14ac:dyDescent="0.3">
      <c r="A164" s="2" t="s">
        <v>413</v>
      </c>
      <c r="B164" s="2">
        <v>978283</v>
      </c>
      <c r="C164" s="2" t="s">
        <v>414</v>
      </c>
      <c r="D164" s="2">
        <v>686925039970</v>
      </c>
      <c r="E164" s="2" t="s">
        <v>34</v>
      </c>
      <c r="F164" s="2" t="s">
        <v>35</v>
      </c>
      <c r="G164" s="2" t="s">
        <v>36</v>
      </c>
      <c r="H164" s="2" t="s">
        <v>30</v>
      </c>
      <c r="I164" s="2" t="s">
        <v>47</v>
      </c>
      <c r="J164" s="2">
        <v>46440.959999999999</v>
      </c>
      <c r="K164" s="2" t="s">
        <v>48</v>
      </c>
      <c r="L164" s="3">
        <v>45472</v>
      </c>
      <c r="M164" s="2" t="s">
        <v>23</v>
      </c>
      <c r="N164" s="2">
        <v>1302694.5</v>
      </c>
      <c r="O164" s="2" t="s">
        <v>24</v>
      </c>
      <c r="P164" t="str">
        <f>TEXT(Table1[[#This Row],[Transaction Date]],"mmm")</f>
        <v>Jun</v>
      </c>
    </row>
    <row r="165" spans="1:16" ht="15.75" customHeight="1" x14ac:dyDescent="0.3">
      <c r="A165" s="2" t="s">
        <v>415</v>
      </c>
      <c r="B165" s="2">
        <v>308373</v>
      </c>
      <c r="C165" s="2" t="s">
        <v>416</v>
      </c>
      <c r="D165" s="2">
        <v>850820030043</v>
      </c>
      <c r="E165" s="2" t="s">
        <v>27</v>
      </c>
      <c r="F165" s="2" t="s">
        <v>28</v>
      </c>
      <c r="G165" s="2" t="s">
        <v>29</v>
      </c>
      <c r="H165" s="2" t="s">
        <v>66</v>
      </c>
      <c r="I165" s="2" t="s">
        <v>21</v>
      </c>
      <c r="J165" s="2">
        <v>81438.09</v>
      </c>
      <c r="K165" s="2" t="s">
        <v>48</v>
      </c>
      <c r="L165" s="3">
        <v>45742</v>
      </c>
      <c r="M165" s="2" t="s">
        <v>23</v>
      </c>
      <c r="N165" s="2">
        <v>303737.78000000003</v>
      </c>
      <c r="O165" s="2" t="s">
        <v>24</v>
      </c>
      <c r="P165" t="str">
        <f>TEXT(Table1[[#This Row],[Transaction Date]],"mmm")</f>
        <v>Mar</v>
      </c>
    </row>
    <row r="166" spans="1:16" ht="15.75" customHeight="1" x14ac:dyDescent="0.3">
      <c r="A166" s="2" t="s">
        <v>417</v>
      </c>
      <c r="B166" s="2">
        <v>382042</v>
      </c>
      <c r="C166" s="2" t="s">
        <v>418</v>
      </c>
      <c r="D166" s="2">
        <v>672793088296</v>
      </c>
      <c r="E166" s="2" t="s">
        <v>27</v>
      </c>
      <c r="F166" s="2" t="s">
        <v>28</v>
      </c>
      <c r="G166" s="2" t="s">
        <v>29</v>
      </c>
      <c r="H166" s="2" t="s">
        <v>20</v>
      </c>
      <c r="I166" s="2" t="s">
        <v>37</v>
      </c>
      <c r="J166" s="2">
        <v>24609.7</v>
      </c>
      <c r="K166" s="2" t="s">
        <v>38</v>
      </c>
      <c r="L166" s="3">
        <v>45525</v>
      </c>
      <c r="M166" s="2" t="s">
        <v>23</v>
      </c>
      <c r="N166" s="2">
        <v>464560.08</v>
      </c>
      <c r="O166" s="2" t="s">
        <v>24</v>
      </c>
      <c r="P166" t="str">
        <f>TEXT(Table1[[#This Row],[Transaction Date]],"mmm")</f>
        <v>Aug</v>
      </c>
    </row>
    <row r="167" spans="1:16" ht="15.75" customHeight="1" x14ac:dyDescent="0.3">
      <c r="A167" s="2" t="s">
        <v>419</v>
      </c>
      <c r="B167" s="2">
        <v>841087</v>
      </c>
      <c r="C167" s="2" t="s">
        <v>420</v>
      </c>
      <c r="D167" s="2">
        <v>340321947570</v>
      </c>
      <c r="E167" s="2" t="s">
        <v>63</v>
      </c>
      <c r="F167" s="2" t="s">
        <v>145</v>
      </c>
      <c r="G167" s="2" t="s">
        <v>146</v>
      </c>
      <c r="H167" s="2" t="s">
        <v>66</v>
      </c>
      <c r="I167" s="2" t="s">
        <v>37</v>
      </c>
      <c r="J167" s="2">
        <v>80691.649999999994</v>
      </c>
      <c r="K167" s="2" t="s">
        <v>31</v>
      </c>
      <c r="L167" s="3">
        <v>45621</v>
      </c>
      <c r="M167" s="2" t="s">
        <v>23</v>
      </c>
      <c r="N167" s="2">
        <v>1504466.62</v>
      </c>
      <c r="O167" s="2" t="s">
        <v>24</v>
      </c>
      <c r="P167" t="str">
        <f>TEXT(Table1[[#This Row],[Transaction Date]],"mmm")</f>
        <v>Nov</v>
      </c>
    </row>
    <row r="168" spans="1:16" ht="15.75" customHeight="1" x14ac:dyDescent="0.3">
      <c r="A168" s="2" t="s">
        <v>421</v>
      </c>
      <c r="B168" s="2">
        <v>453621</v>
      </c>
      <c r="C168" s="2" t="s">
        <v>422</v>
      </c>
      <c r="D168" s="2">
        <v>572275455942</v>
      </c>
      <c r="E168" s="2" t="s">
        <v>17</v>
      </c>
      <c r="F168" s="2" t="s">
        <v>45</v>
      </c>
      <c r="G168" s="2" t="s">
        <v>46</v>
      </c>
      <c r="H168" s="2" t="s">
        <v>69</v>
      </c>
      <c r="I168" s="2" t="s">
        <v>37</v>
      </c>
      <c r="J168" s="2">
        <v>86333.22</v>
      </c>
      <c r="K168" s="2" t="s">
        <v>48</v>
      </c>
      <c r="L168" s="3">
        <v>45833</v>
      </c>
      <c r="M168" s="2" t="s">
        <v>23</v>
      </c>
      <c r="N168" s="2">
        <v>173826.27</v>
      </c>
      <c r="O168" s="2" t="s">
        <v>24</v>
      </c>
      <c r="P168" t="str">
        <f>TEXT(Table1[[#This Row],[Transaction Date]],"mmm")</f>
        <v>Jun</v>
      </c>
    </row>
    <row r="169" spans="1:16" ht="15.75" customHeight="1" x14ac:dyDescent="0.3">
      <c r="A169" s="2" t="s">
        <v>423</v>
      </c>
      <c r="B169" s="2">
        <v>194555</v>
      </c>
      <c r="C169" s="2" t="s">
        <v>424</v>
      </c>
      <c r="D169" s="2">
        <v>623222273192</v>
      </c>
      <c r="E169" s="2" t="s">
        <v>17</v>
      </c>
      <c r="F169" s="2" t="s">
        <v>18</v>
      </c>
      <c r="G169" s="2" t="s">
        <v>19</v>
      </c>
      <c r="H169" s="2" t="s">
        <v>69</v>
      </c>
      <c r="I169" s="2" t="s">
        <v>47</v>
      </c>
      <c r="J169" s="2">
        <v>121786.38</v>
      </c>
      <c r="K169" s="2" t="s">
        <v>97</v>
      </c>
      <c r="L169" s="3">
        <v>45423</v>
      </c>
      <c r="M169" s="2" t="s">
        <v>49</v>
      </c>
      <c r="N169" s="2">
        <v>1986716.88</v>
      </c>
      <c r="O169" s="2" t="s">
        <v>24</v>
      </c>
      <c r="P169" t="str">
        <f>TEXT(Table1[[#This Row],[Transaction Date]],"mmm")</f>
        <v>May</v>
      </c>
    </row>
    <row r="170" spans="1:16" ht="15.75" customHeight="1" x14ac:dyDescent="0.3">
      <c r="A170" s="2" t="s">
        <v>425</v>
      </c>
      <c r="B170" s="2">
        <v>770075</v>
      </c>
      <c r="C170" s="2" t="s">
        <v>426</v>
      </c>
      <c r="D170" s="2">
        <v>292949525017</v>
      </c>
      <c r="E170" s="2" t="s">
        <v>17</v>
      </c>
      <c r="F170" s="2" t="s">
        <v>18</v>
      </c>
      <c r="G170" s="2" t="s">
        <v>19</v>
      </c>
      <c r="H170" s="2" t="s">
        <v>20</v>
      </c>
      <c r="I170" s="2" t="s">
        <v>47</v>
      </c>
      <c r="J170" s="2">
        <v>130110.38</v>
      </c>
      <c r="K170" s="2" t="s">
        <v>48</v>
      </c>
      <c r="L170" s="3">
        <v>45565</v>
      </c>
      <c r="M170" s="2" t="s">
        <v>23</v>
      </c>
      <c r="N170" s="2">
        <v>1443432.25</v>
      </c>
      <c r="O170" s="2" t="s">
        <v>24</v>
      </c>
      <c r="P170" t="str">
        <f>TEXT(Table1[[#This Row],[Transaction Date]],"mmm")</f>
        <v>Sep</v>
      </c>
    </row>
    <row r="171" spans="1:16" ht="15.75" customHeight="1" x14ac:dyDescent="0.3">
      <c r="A171" s="2" t="s">
        <v>427</v>
      </c>
      <c r="B171" s="2">
        <v>829378</v>
      </c>
      <c r="C171" s="2" t="s">
        <v>428</v>
      </c>
      <c r="D171" s="2">
        <v>903370949456</v>
      </c>
      <c r="E171" s="2" t="s">
        <v>90</v>
      </c>
      <c r="F171" s="2" t="s">
        <v>108</v>
      </c>
      <c r="G171" s="2" t="s">
        <v>109</v>
      </c>
      <c r="H171" s="2" t="s">
        <v>20</v>
      </c>
      <c r="I171" s="2" t="s">
        <v>21</v>
      </c>
      <c r="J171" s="2">
        <v>585632.02</v>
      </c>
      <c r="K171" s="2" t="s">
        <v>48</v>
      </c>
      <c r="L171" s="3">
        <v>45303</v>
      </c>
      <c r="M171" s="2" t="s">
        <v>23</v>
      </c>
      <c r="N171" s="2">
        <v>1709477.05</v>
      </c>
      <c r="O171" s="2" t="s">
        <v>24</v>
      </c>
      <c r="P171" t="str">
        <f>TEXT(Table1[[#This Row],[Transaction Date]],"mmm")</f>
        <v>Jan</v>
      </c>
    </row>
    <row r="172" spans="1:16" ht="15.75" customHeight="1" x14ac:dyDescent="0.3">
      <c r="A172" s="2" t="s">
        <v>429</v>
      </c>
      <c r="B172" s="2">
        <v>987879</v>
      </c>
      <c r="C172" s="2" t="s">
        <v>430</v>
      </c>
      <c r="D172" s="2">
        <v>260587250312</v>
      </c>
      <c r="E172" s="2" t="s">
        <v>34</v>
      </c>
      <c r="F172" s="2" t="s">
        <v>35</v>
      </c>
      <c r="G172" s="2" t="s">
        <v>36</v>
      </c>
      <c r="H172" s="2" t="s">
        <v>69</v>
      </c>
      <c r="I172" s="2" t="s">
        <v>37</v>
      </c>
      <c r="J172" s="2">
        <v>13739.75</v>
      </c>
      <c r="K172" s="2" t="s">
        <v>38</v>
      </c>
      <c r="L172" s="3">
        <v>45818</v>
      </c>
      <c r="M172" s="2" t="s">
        <v>23</v>
      </c>
      <c r="N172" s="2">
        <v>1443259.36</v>
      </c>
      <c r="O172" s="2" t="s">
        <v>24</v>
      </c>
      <c r="P172" t="str">
        <f>TEXT(Table1[[#This Row],[Transaction Date]],"mmm")</f>
        <v>Jun</v>
      </c>
    </row>
    <row r="173" spans="1:16" ht="15.75" customHeight="1" x14ac:dyDescent="0.3">
      <c r="A173" s="2" t="s">
        <v>431</v>
      </c>
      <c r="B173" s="2">
        <v>232569</v>
      </c>
      <c r="C173" s="2" t="s">
        <v>432</v>
      </c>
      <c r="D173" s="2">
        <v>977364169001</v>
      </c>
      <c r="E173" s="2" t="s">
        <v>17</v>
      </c>
      <c r="F173" s="2" t="s">
        <v>18</v>
      </c>
      <c r="G173" s="2" t="s">
        <v>19</v>
      </c>
      <c r="H173" s="2" t="s">
        <v>20</v>
      </c>
      <c r="I173" s="2" t="s">
        <v>52</v>
      </c>
      <c r="J173" s="2">
        <v>217678.95</v>
      </c>
      <c r="K173" s="2" t="s">
        <v>48</v>
      </c>
      <c r="L173" s="3">
        <v>45278</v>
      </c>
      <c r="M173" s="2" t="s">
        <v>23</v>
      </c>
      <c r="N173" s="2">
        <v>1325870.71</v>
      </c>
      <c r="O173" s="2" t="s">
        <v>24</v>
      </c>
      <c r="P173" t="str">
        <f>TEXT(Table1[[#This Row],[Transaction Date]],"mmm")</f>
        <v>Dec</v>
      </c>
    </row>
    <row r="174" spans="1:16" ht="15.75" customHeight="1" x14ac:dyDescent="0.3">
      <c r="A174" s="2" t="s">
        <v>433</v>
      </c>
      <c r="B174" s="2">
        <v>287130</v>
      </c>
      <c r="C174" s="2" t="s">
        <v>434</v>
      </c>
      <c r="D174" s="2">
        <v>390913928721</v>
      </c>
      <c r="E174" s="2" t="s">
        <v>17</v>
      </c>
      <c r="F174" s="2" t="s">
        <v>86</v>
      </c>
      <c r="G174" s="2" t="s">
        <v>87</v>
      </c>
      <c r="H174" s="2" t="s">
        <v>30</v>
      </c>
      <c r="I174" s="2" t="s">
        <v>47</v>
      </c>
      <c r="J174" s="2">
        <v>241267.85</v>
      </c>
      <c r="K174" s="2" t="s">
        <v>38</v>
      </c>
      <c r="L174" s="3">
        <v>45302</v>
      </c>
      <c r="M174" s="2" t="s">
        <v>23</v>
      </c>
      <c r="N174" s="2">
        <v>614510.72</v>
      </c>
      <c r="O174" s="2" t="s">
        <v>24</v>
      </c>
      <c r="P174" t="str">
        <f>TEXT(Table1[[#This Row],[Transaction Date]],"mmm")</f>
        <v>Jan</v>
      </c>
    </row>
    <row r="175" spans="1:16" ht="15.75" customHeight="1" x14ac:dyDescent="0.3">
      <c r="A175" s="2" t="s">
        <v>435</v>
      </c>
      <c r="B175" s="2">
        <v>273869</v>
      </c>
      <c r="C175" s="2" t="s">
        <v>436</v>
      </c>
      <c r="D175" s="2">
        <v>722703997525</v>
      </c>
      <c r="E175" s="2" t="s">
        <v>90</v>
      </c>
      <c r="F175" s="2" t="s">
        <v>91</v>
      </c>
      <c r="G175" s="2" t="s">
        <v>92</v>
      </c>
      <c r="H175" s="2" t="s">
        <v>66</v>
      </c>
      <c r="I175" s="2" t="s">
        <v>47</v>
      </c>
      <c r="J175" s="2">
        <v>282229.52</v>
      </c>
      <c r="K175" s="2" t="s">
        <v>48</v>
      </c>
      <c r="L175" s="3">
        <v>45634</v>
      </c>
      <c r="M175" s="2" t="s">
        <v>23</v>
      </c>
      <c r="N175" s="2">
        <v>2278673.0299999998</v>
      </c>
      <c r="O175" s="2" t="s">
        <v>24</v>
      </c>
      <c r="P175" t="str">
        <f>TEXT(Table1[[#This Row],[Transaction Date]],"mmm")</f>
        <v>Dec</v>
      </c>
    </row>
    <row r="176" spans="1:16" ht="15.75" customHeight="1" x14ac:dyDescent="0.3">
      <c r="A176" s="2" t="s">
        <v>437</v>
      </c>
      <c r="B176" s="2">
        <v>533366</v>
      </c>
      <c r="C176" s="2" t="s">
        <v>438</v>
      </c>
      <c r="D176" s="2">
        <v>792282281783</v>
      </c>
      <c r="E176" s="2" t="s">
        <v>90</v>
      </c>
      <c r="F176" s="2" t="s">
        <v>91</v>
      </c>
      <c r="G176" s="2" t="s">
        <v>92</v>
      </c>
      <c r="H176" s="2" t="s">
        <v>66</v>
      </c>
      <c r="I176" s="2" t="s">
        <v>52</v>
      </c>
      <c r="J176" s="2">
        <v>45405.21</v>
      </c>
      <c r="K176" s="2" t="s">
        <v>38</v>
      </c>
      <c r="L176" s="3">
        <v>45811</v>
      </c>
      <c r="M176" s="2" t="s">
        <v>23</v>
      </c>
      <c r="N176" s="2">
        <v>580928.07999999996</v>
      </c>
      <c r="O176" s="2" t="s">
        <v>24</v>
      </c>
      <c r="P176" t="str">
        <f>TEXT(Table1[[#This Row],[Transaction Date]],"mmm")</f>
        <v>Jun</v>
      </c>
    </row>
    <row r="177" spans="1:16" ht="15.75" customHeight="1" x14ac:dyDescent="0.3">
      <c r="A177" s="2" t="s">
        <v>439</v>
      </c>
      <c r="B177" s="2">
        <v>392320</v>
      </c>
      <c r="C177" s="2" t="s">
        <v>440</v>
      </c>
      <c r="D177" s="2">
        <v>738265413805</v>
      </c>
      <c r="E177" s="2" t="s">
        <v>63</v>
      </c>
      <c r="F177" s="2" t="s">
        <v>82</v>
      </c>
      <c r="G177" s="2" t="s">
        <v>83</v>
      </c>
      <c r="H177" s="2" t="s">
        <v>30</v>
      </c>
      <c r="I177" s="2" t="s">
        <v>21</v>
      </c>
      <c r="J177" s="2">
        <v>212526.68</v>
      </c>
      <c r="K177" s="2" t="s">
        <v>22</v>
      </c>
      <c r="L177" s="3">
        <v>45682</v>
      </c>
      <c r="M177" s="2" t="s">
        <v>23</v>
      </c>
      <c r="N177" s="2">
        <v>602494.71</v>
      </c>
      <c r="O177" s="2" t="s">
        <v>24</v>
      </c>
      <c r="P177" t="str">
        <f>TEXT(Table1[[#This Row],[Transaction Date]],"mmm")</f>
        <v>Jan</v>
      </c>
    </row>
    <row r="178" spans="1:16" ht="15.75" customHeight="1" x14ac:dyDescent="0.3">
      <c r="A178" s="2" t="s">
        <v>441</v>
      </c>
      <c r="B178" s="2">
        <v>489951</v>
      </c>
      <c r="C178" s="2" t="s">
        <v>442</v>
      </c>
      <c r="D178" s="2">
        <v>660462416947</v>
      </c>
      <c r="E178" s="2" t="s">
        <v>34</v>
      </c>
      <c r="F178" s="2" t="s">
        <v>135</v>
      </c>
      <c r="G178" s="2" t="s">
        <v>136</v>
      </c>
      <c r="H178" s="2" t="s">
        <v>66</v>
      </c>
      <c r="I178" s="2" t="s">
        <v>52</v>
      </c>
      <c r="J178" s="2">
        <v>338467.95</v>
      </c>
      <c r="K178" s="2" t="s">
        <v>97</v>
      </c>
      <c r="L178" s="3">
        <v>45665</v>
      </c>
      <c r="M178" s="2" t="s">
        <v>23</v>
      </c>
      <c r="N178" s="2">
        <v>847748.51</v>
      </c>
      <c r="O178" s="2" t="s">
        <v>24</v>
      </c>
      <c r="P178" t="str">
        <f>TEXT(Table1[[#This Row],[Transaction Date]],"mmm")</f>
        <v>Jan</v>
      </c>
    </row>
    <row r="179" spans="1:16" ht="15.75" customHeight="1" x14ac:dyDescent="0.3">
      <c r="A179" s="2" t="s">
        <v>443</v>
      </c>
      <c r="B179" s="2">
        <v>182090</v>
      </c>
      <c r="C179" s="2" t="s">
        <v>444</v>
      </c>
      <c r="D179" s="2">
        <v>773349801258</v>
      </c>
      <c r="E179" s="2" t="s">
        <v>90</v>
      </c>
      <c r="F179" s="2" t="s">
        <v>104</v>
      </c>
      <c r="G179" s="2" t="s">
        <v>105</v>
      </c>
      <c r="H179" s="2" t="s">
        <v>66</v>
      </c>
      <c r="I179" s="2" t="s">
        <v>52</v>
      </c>
      <c r="J179" s="2">
        <v>144290.97</v>
      </c>
      <c r="K179" s="2" t="s">
        <v>38</v>
      </c>
      <c r="L179" s="3">
        <v>45344</v>
      </c>
      <c r="M179" s="2" t="s">
        <v>23</v>
      </c>
      <c r="N179" s="2">
        <v>1516905.19</v>
      </c>
      <c r="O179" s="2" t="s">
        <v>24</v>
      </c>
      <c r="P179" t="str">
        <f>TEXT(Table1[[#This Row],[Transaction Date]],"mmm")</f>
        <v>Feb</v>
      </c>
    </row>
    <row r="180" spans="1:16" ht="15.75" customHeight="1" x14ac:dyDescent="0.3">
      <c r="A180" s="2" t="s">
        <v>445</v>
      </c>
      <c r="B180" s="2">
        <v>861891</v>
      </c>
      <c r="C180" s="2" t="s">
        <v>446</v>
      </c>
      <c r="D180" s="2">
        <v>758276699400</v>
      </c>
      <c r="E180" s="2" t="s">
        <v>63</v>
      </c>
      <c r="F180" s="2" t="s">
        <v>82</v>
      </c>
      <c r="G180" s="2" t="s">
        <v>83</v>
      </c>
      <c r="H180" s="2" t="s">
        <v>66</v>
      </c>
      <c r="I180" s="2" t="s">
        <v>52</v>
      </c>
      <c r="J180" s="2">
        <v>34188.99</v>
      </c>
      <c r="K180" s="2" t="s">
        <v>97</v>
      </c>
      <c r="L180" s="3">
        <v>45333</v>
      </c>
      <c r="M180" s="2" t="s">
        <v>23</v>
      </c>
      <c r="N180" s="2">
        <v>320795.43</v>
      </c>
      <c r="O180" s="2" t="s">
        <v>24</v>
      </c>
      <c r="P180" t="str">
        <f>TEXT(Table1[[#This Row],[Transaction Date]],"mmm")</f>
        <v>Feb</v>
      </c>
    </row>
    <row r="181" spans="1:16" ht="15.75" customHeight="1" x14ac:dyDescent="0.3">
      <c r="A181" s="2" t="s">
        <v>447</v>
      </c>
      <c r="B181" s="2">
        <v>915152</v>
      </c>
      <c r="C181" s="2" t="s">
        <v>448</v>
      </c>
      <c r="D181" s="2">
        <v>885153418135</v>
      </c>
      <c r="E181" s="2" t="s">
        <v>63</v>
      </c>
      <c r="F181" s="2" t="s">
        <v>165</v>
      </c>
      <c r="G181" s="2" t="s">
        <v>166</v>
      </c>
      <c r="H181" s="2" t="s">
        <v>69</v>
      </c>
      <c r="I181" s="2" t="s">
        <v>37</v>
      </c>
      <c r="J181" s="2">
        <v>82302.03</v>
      </c>
      <c r="K181" s="2" t="s">
        <v>31</v>
      </c>
      <c r="L181" s="3">
        <v>45573</v>
      </c>
      <c r="M181" s="2" t="s">
        <v>23</v>
      </c>
      <c r="N181" s="2">
        <v>1644815.09</v>
      </c>
      <c r="O181" s="2" t="s">
        <v>24</v>
      </c>
      <c r="P181" t="str">
        <f>TEXT(Table1[[#This Row],[Transaction Date]],"mmm")</f>
        <v>Oct</v>
      </c>
    </row>
    <row r="182" spans="1:16" ht="15.75" customHeight="1" x14ac:dyDescent="0.3">
      <c r="A182" s="2" t="s">
        <v>449</v>
      </c>
      <c r="B182" s="2">
        <v>955248</v>
      </c>
      <c r="C182" s="2" t="s">
        <v>450</v>
      </c>
      <c r="D182" s="2">
        <v>536354802733</v>
      </c>
      <c r="E182" s="2" t="s">
        <v>34</v>
      </c>
      <c r="F182" s="2" t="s">
        <v>59</v>
      </c>
      <c r="G182" s="2" t="s">
        <v>60</v>
      </c>
      <c r="H182" s="2" t="s">
        <v>69</v>
      </c>
      <c r="I182" s="2" t="s">
        <v>52</v>
      </c>
      <c r="J182" s="2">
        <v>333457.7</v>
      </c>
      <c r="K182" s="2" t="s">
        <v>31</v>
      </c>
      <c r="L182" s="3">
        <v>45666</v>
      </c>
      <c r="M182" s="2" t="s">
        <v>167</v>
      </c>
      <c r="N182" s="2">
        <v>1971539.37</v>
      </c>
      <c r="O182" s="2" t="s">
        <v>24</v>
      </c>
      <c r="P182" t="str">
        <f>TEXT(Table1[[#This Row],[Transaction Date]],"mmm")</f>
        <v>Jan</v>
      </c>
    </row>
    <row r="183" spans="1:16" ht="15.75" customHeight="1" x14ac:dyDescent="0.3">
      <c r="A183" s="2" t="s">
        <v>451</v>
      </c>
      <c r="B183" s="2">
        <v>102739</v>
      </c>
      <c r="C183" s="2" t="s">
        <v>452</v>
      </c>
      <c r="D183" s="2">
        <v>774104911098</v>
      </c>
      <c r="E183" s="2" t="s">
        <v>17</v>
      </c>
      <c r="F183" s="2" t="s">
        <v>155</v>
      </c>
      <c r="G183" s="2" t="s">
        <v>156</v>
      </c>
      <c r="H183" s="2" t="s">
        <v>69</v>
      </c>
      <c r="I183" s="2" t="s">
        <v>37</v>
      </c>
      <c r="J183" s="2">
        <v>129936.35</v>
      </c>
      <c r="K183" s="2" t="s">
        <v>97</v>
      </c>
      <c r="L183" s="3">
        <v>45166</v>
      </c>
      <c r="M183" s="2" t="s">
        <v>23</v>
      </c>
      <c r="N183" s="2">
        <v>110612.71</v>
      </c>
      <c r="O183" s="2" t="s">
        <v>24</v>
      </c>
      <c r="P183" t="str">
        <f>TEXT(Table1[[#This Row],[Transaction Date]],"mmm")</f>
        <v>Aug</v>
      </c>
    </row>
    <row r="184" spans="1:16" ht="15.75" customHeight="1" x14ac:dyDescent="0.3">
      <c r="A184" s="2" t="s">
        <v>453</v>
      </c>
      <c r="B184" s="2">
        <v>870440</v>
      </c>
      <c r="C184" s="2" t="s">
        <v>454</v>
      </c>
      <c r="D184" s="2">
        <v>599441016363</v>
      </c>
      <c r="E184" s="2" t="s">
        <v>27</v>
      </c>
      <c r="F184" s="2" t="s">
        <v>149</v>
      </c>
      <c r="G184" s="2" t="s">
        <v>150</v>
      </c>
      <c r="H184" s="2" t="s">
        <v>69</v>
      </c>
      <c r="I184" s="2" t="s">
        <v>52</v>
      </c>
      <c r="J184" s="2">
        <v>343331.26</v>
      </c>
      <c r="K184" s="2" t="s">
        <v>31</v>
      </c>
      <c r="L184" s="3">
        <v>45834</v>
      </c>
      <c r="M184" s="2" t="s">
        <v>23</v>
      </c>
      <c r="N184" s="2">
        <v>1665408.93</v>
      </c>
      <c r="O184" s="2" t="s">
        <v>24</v>
      </c>
      <c r="P184" t="str">
        <f>TEXT(Table1[[#This Row],[Transaction Date]],"mmm")</f>
        <v>Jun</v>
      </c>
    </row>
    <row r="185" spans="1:16" ht="15.75" customHeight="1" x14ac:dyDescent="0.3">
      <c r="A185" s="2" t="s">
        <v>455</v>
      </c>
      <c r="B185" s="2">
        <v>568609</v>
      </c>
      <c r="C185" s="2" t="s">
        <v>456</v>
      </c>
      <c r="D185" s="2">
        <v>575512465389</v>
      </c>
      <c r="E185" s="2" t="s">
        <v>34</v>
      </c>
      <c r="F185" s="2" t="s">
        <v>59</v>
      </c>
      <c r="G185" s="2" t="s">
        <v>60</v>
      </c>
      <c r="H185" s="2" t="s">
        <v>20</v>
      </c>
      <c r="I185" s="2" t="s">
        <v>37</v>
      </c>
      <c r="J185" s="2">
        <v>6580.59</v>
      </c>
      <c r="K185" s="2" t="s">
        <v>48</v>
      </c>
      <c r="L185" s="3">
        <v>45806</v>
      </c>
      <c r="M185" s="2" t="s">
        <v>112</v>
      </c>
      <c r="N185" s="2">
        <v>1643987.43</v>
      </c>
      <c r="O185" s="2" t="s">
        <v>24</v>
      </c>
      <c r="P185" t="str">
        <f>TEXT(Table1[[#This Row],[Transaction Date]],"mmm")</f>
        <v>May</v>
      </c>
    </row>
    <row r="186" spans="1:16" ht="15.75" customHeight="1" x14ac:dyDescent="0.3">
      <c r="A186" s="2" t="s">
        <v>457</v>
      </c>
      <c r="B186" s="2">
        <v>365649</v>
      </c>
      <c r="C186" s="2" t="s">
        <v>458</v>
      </c>
      <c r="D186" s="2">
        <v>709341661530</v>
      </c>
      <c r="E186" s="2" t="s">
        <v>63</v>
      </c>
      <c r="F186" s="2" t="s">
        <v>176</v>
      </c>
      <c r="G186" s="2" t="s">
        <v>177</v>
      </c>
      <c r="H186" s="2" t="s">
        <v>20</v>
      </c>
      <c r="I186" s="2" t="s">
        <v>52</v>
      </c>
      <c r="J186" s="2">
        <v>27356.09</v>
      </c>
      <c r="K186" s="2" t="s">
        <v>22</v>
      </c>
      <c r="L186" s="3">
        <v>45509</v>
      </c>
      <c r="M186" s="2" t="s">
        <v>23</v>
      </c>
      <c r="N186" s="2">
        <v>77396.25</v>
      </c>
      <c r="O186" s="2" t="s">
        <v>24</v>
      </c>
      <c r="P186" t="str">
        <f>TEXT(Table1[[#This Row],[Transaction Date]],"mmm")</f>
        <v>Aug</v>
      </c>
    </row>
    <row r="187" spans="1:16" ht="15.75" customHeight="1" x14ac:dyDescent="0.3">
      <c r="A187" s="2" t="s">
        <v>459</v>
      </c>
      <c r="B187" s="2">
        <v>818603</v>
      </c>
      <c r="C187" s="2" t="s">
        <v>460</v>
      </c>
      <c r="D187" s="2">
        <v>782215302028</v>
      </c>
      <c r="E187" s="2" t="s">
        <v>17</v>
      </c>
      <c r="F187" s="2" t="s">
        <v>55</v>
      </c>
      <c r="G187" s="2" t="s">
        <v>56</v>
      </c>
      <c r="H187" s="2" t="s">
        <v>20</v>
      </c>
      <c r="I187" s="2" t="s">
        <v>21</v>
      </c>
      <c r="J187" s="2">
        <v>259278.23</v>
      </c>
      <c r="K187" s="2" t="s">
        <v>38</v>
      </c>
      <c r="L187" s="3">
        <v>45810</v>
      </c>
      <c r="M187" s="2" t="s">
        <v>49</v>
      </c>
      <c r="N187" s="2">
        <v>1616440.48</v>
      </c>
      <c r="O187" s="2" t="s">
        <v>24</v>
      </c>
      <c r="P187" t="str">
        <f>TEXT(Table1[[#This Row],[Transaction Date]],"mmm")</f>
        <v>Jun</v>
      </c>
    </row>
    <row r="188" spans="1:16" ht="15.75" customHeight="1" x14ac:dyDescent="0.3">
      <c r="A188" s="2" t="s">
        <v>461</v>
      </c>
      <c r="B188" s="2">
        <v>764919</v>
      </c>
      <c r="C188" s="2" t="s">
        <v>462</v>
      </c>
      <c r="D188" s="2">
        <v>459712929306</v>
      </c>
      <c r="E188" s="2" t="s">
        <v>63</v>
      </c>
      <c r="F188" s="2" t="s">
        <v>165</v>
      </c>
      <c r="G188" s="2" t="s">
        <v>166</v>
      </c>
      <c r="H188" s="2" t="s">
        <v>69</v>
      </c>
      <c r="I188" s="2" t="s">
        <v>52</v>
      </c>
      <c r="J188" s="2">
        <v>102247.08</v>
      </c>
      <c r="K188" s="2" t="s">
        <v>38</v>
      </c>
      <c r="L188" s="3">
        <v>45286</v>
      </c>
      <c r="M188" s="2" t="s">
        <v>23</v>
      </c>
      <c r="N188" s="2">
        <v>1111261.05</v>
      </c>
      <c r="O188" s="2" t="s">
        <v>24</v>
      </c>
      <c r="P188" t="str">
        <f>TEXT(Table1[[#This Row],[Transaction Date]],"mmm")</f>
        <v>Dec</v>
      </c>
    </row>
    <row r="189" spans="1:16" ht="15.75" customHeight="1" x14ac:dyDescent="0.3">
      <c r="A189" s="2" t="s">
        <v>463</v>
      </c>
      <c r="B189" s="2">
        <v>408340</v>
      </c>
      <c r="C189" s="2" t="s">
        <v>464</v>
      </c>
      <c r="D189" s="2">
        <v>128421661114</v>
      </c>
      <c r="E189" s="2" t="s">
        <v>34</v>
      </c>
      <c r="F189" s="2" t="s">
        <v>59</v>
      </c>
      <c r="G189" s="2" t="s">
        <v>60</v>
      </c>
      <c r="H189" s="2" t="s">
        <v>69</v>
      </c>
      <c r="I189" s="2" t="s">
        <v>37</v>
      </c>
      <c r="J189" s="2">
        <v>94310.27</v>
      </c>
      <c r="K189" s="2" t="s">
        <v>97</v>
      </c>
      <c r="L189" s="3">
        <v>45623</v>
      </c>
      <c r="M189" s="2" t="s">
        <v>23</v>
      </c>
      <c r="N189" s="2">
        <v>144857.48000000001</v>
      </c>
      <c r="O189" s="2" t="s">
        <v>178</v>
      </c>
      <c r="P189" t="str">
        <f>TEXT(Table1[[#This Row],[Transaction Date]],"mmm")</f>
        <v>Nov</v>
      </c>
    </row>
    <row r="190" spans="1:16" ht="15.75" customHeight="1" x14ac:dyDescent="0.3">
      <c r="A190" s="2" t="s">
        <v>465</v>
      </c>
      <c r="B190" s="2">
        <v>599905</v>
      </c>
      <c r="C190" s="2" t="s">
        <v>466</v>
      </c>
      <c r="D190" s="2">
        <v>532372091101</v>
      </c>
      <c r="E190" s="2" t="s">
        <v>17</v>
      </c>
      <c r="F190" s="2" t="s">
        <v>18</v>
      </c>
      <c r="G190" s="2" t="s">
        <v>19</v>
      </c>
      <c r="H190" s="2" t="s">
        <v>69</v>
      </c>
      <c r="I190" s="2" t="s">
        <v>21</v>
      </c>
      <c r="J190" s="2">
        <v>197642.07</v>
      </c>
      <c r="K190" s="2" t="s">
        <v>22</v>
      </c>
      <c r="L190" s="3">
        <v>45364</v>
      </c>
      <c r="M190" s="2" t="s">
        <v>23</v>
      </c>
      <c r="N190" s="2">
        <v>1385401.9</v>
      </c>
      <c r="O190" s="2" t="s">
        <v>24</v>
      </c>
      <c r="P190" t="str">
        <f>TEXT(Table1[[#This Row],[Transaction Date]],"mmm")</f>
        <v>Mar</v>
      </c>
    </row>
    <row r="191" spans="1:16" ht="15.75" customHeight="1" x14ac:dyDescent="0.3">
      <c r="A191" s="2" t="s">
        <v>467</v>
      </c>
      <c r="B191" s="2">
        <v>185724</v>
      </c>
      <c r="C191" s="2" t="s">
        <v>468</v>
      </c>
      <c r="D191" s="2">
        <v>133109804226</v>
      </c>
      <c r="E191" s="2" t="s">
        <v>90</v>
      </c>
      <c r="F191" s="2" t="s">
        <v>104</v>
      </c>
      <c r="G191" s="2" t="s">
        <v>105</v>
      </c>
      <c r="H191" s="2" t="s">
        <v>20</v>
      </c>
      <c r="I191" s="2" t="s">
        <v>37</v>
      </c>
      <c r="J191" s="2">
        <v>108609.83</v>
      </c>
      <c r="K191" s="2" t="s">
        <v>38</v>
      </c>
      <c r="L191" s="3">
        <v>45438</v>
      </c>
      <c r="M191" s="2" t="s">
        <v>23</v>
      </c>
      <c r="N191" s="2">
        <v>630301.93000000005</v>
      </c>
      <c r="O191" s="2" t="s">
        <v>24</v>
      </c>
      <c r="P191" t="str">
        <f>TEXT(Table1[[#This Row],[Transaction Date]],"mmm")</f>
        <v>May</v>
      </c>
    </row>
    <row r="192" spans="1:16" ht="15.75" customHeight="1" x14ac:dyDescent="0.3">
      <c r="A192" s="2" t="s">
        <v>469</v>
      </c>
      <c r="B192" s="2">
        <v>459857</v>
      </c>
      <c r="C192" s="2" t="s">
        <v>470</v>
      </c>
      <c r="D192" s="2">
        <v>674125296809</v>
      </c>
      <c r="E192" s="2" t="s">
        <v>34</v>
      </c>
      <c r="F192" s="2" t="s">
        <v>35</v>
      </c>
      <c r="G192" s="2" t="s">
        <v>36</v>
      </c>
      <c r="H192" s="2" t="s">
        <v>20</v>
      </c>
      <c r="I192" s="2" t="s">
        <v>52</v>
      </c>
      <c r="J192" s="2">
        <v>178673.93</v>
      </c>
      <c r="K192" s="2" t="s">
        <v>38</v>
      </c>
      <c r="L192" s="3">
        <v>45785</v>
      </c>
      <c r="M192" s="2" t="s">
        <v>23</v>
      </c>
      <c r="N192" s="2">
        <v>562061.77</v>
      </c>
      <c r="O192" s="2" t="s">
        <v>24</v>
      </c>
      <c r="P192" t="str">
        <f>TEXT(Table1[[#This Row],[Transaction Date]],"mmm")</f>
        <v>May</v>
      </c>
    </row>
    <row r="193" spans="1:16" ht="15.75" customHeight="1" x14ac:dyDescent="0.3">
      <c r="A193" s="2" t="s">
        <v>471</v>
      </c>
      <c r="B193" s="2">
        <v>927818</v>
      </c>
      <c r="C193" s="2" t="s">
        <v>472</v>
      </c>
      <c r="D193" s="2">
        <v>644707102453</v>
      </c>
      <c r="E193" s="2" t="s">
        <v>27</v>
      </c>
      <c r="F193" s="2" t="s">
        <v>28</v>
      </c>
      <c r="G193" s="2" t="s">
        <v>29</v>
      </c>
      <c r="H193" s="2" t="s">
        <v>69</v>
      </c>
      <c r="I193" s="2" t="s">
        <v>52</v>
      </c>
      <c r="J193" s="2">
        <v>274718.28000000003</v>
      </c>
      <c r="K193" s="2" t="s">
        <v>48</v>
      </c>
      <c r="L193" s="3">
        <v>45549</v>
      </c>
      <c r="M193" s="2" t="s">
        <v>23</v>
      </c>
      <c r="N193" s="2">
        <v>1754440.1</v>
      </c>
      <c r="O193" s="2" t="s">
        <v>24</v>
      </c>
      <c r="P193" t="str">
        <f>TEXT(Table1[[#This Row],[Transaction Date]],"mmm")</f>
        <v>Sep</v>
      </c>
    </row>
    <row r="194" spans="1:16" ht="15.75" customHeight="1" x14ac:dyDescent="0.3">
      <c r="A194" s="2" t="s">
        <v>473</v>
      </c>
      <c r="B194" s="2">
        <v>569704</v>
      </c>
      <c r="C194" s="2" t="s">
        <v>474</v>
      </c>
      <c r="D194" s="2">
        <v>948080124499</v>
      </c>
      <c r="E194" s="2" t="s">
        <v>17</v>
      </c>
      <c r="F194" s="2" t="s">
        <v>18</v>
      </c>
      <c r="G194" s="2" t="s">
        <v>19</v>
      </c>
      <c r="H194" s="2" t="s">
        <v>66</v>
      </c>
      <c r="I194" s="2" t="s">
        <v>21</v>
      </c>
      <c r="J194" s="2">
        <v>570945.16</v>
      </c>
      <c r="K194" s="2" t="s">
        <v>38</v>
      </c>
      <c r="L194" s="3">
        <v>45534</v>
      </c>
      <c r="M194" s="2" t="s">
        <v>23</v>
      </c>
      <c r="N194" s="2">
        <v>2282261.11</v>
      </c>
      <c r="O194" s="2" t="s">
        <v>24</v>
      </c>
      <c r="P194" t="str">
        <f>TEXT(Table1[[#This Row],[Transaction Date]],"mmm")</f>
        <v>Aug</v>
      </c>
    </row>
    <row r="195" spans="1:16" ht="15.75" customHeight="1" x14ac:dyDescent="0.3">
      <c r="A195" s="2" t="s">
        <v>475</v>
      </c>
      <c r="B195" s="2">
        <v>930330</v>
      </c>
      <c r="C195" s="2" t="s">
        <v>476</v>
      </c>
      <c r="D195" s="2">
        <v>171580026376</v>
      </c>
      <c r="E195" s="2" t="s">
        <v>34</v>
      </c>
      <c r="F195" s="2" t="s">
        <v>72</v>
      </c>
      <c r="G195" s="2" t="s">
        <v>73</v>
      </c>
      <c r="H195" s="2" t="s">
        <v>30</v>
      </c>
      <c r="I195" s="2" t="s">
        <v>21</v>
      </c>
      <c r="J195" s="2">
        <v>54099.78</v>
      </c>
      <c r="K195" s="2" t="s">
        <v>48</v>
      </c>
      <c r="L195" s="3">
        <v>45635</v>
      </c>
      <c r="M195" s="2" t="s">
        <v>112</v>
      </c>
      <c r="N195" s="2">
        <v>747054.91</v>
      </c>
      <c r="O195" s="2" t="s">
        <v>24</v>
      </c>
      <c r="P195" t="str">
        <f>TEXT(Table1[[#This Row],[Transaction Date]],"mmm")</f>
        <v>Dec</v>
      </c>
    </row>
    <row r="196" spans="1:16" ht="15.75" customHeight="1" x14ac:dyDescent="0.3">
      <c r="A196" s="2" t="s">
        <v>477</v>
      </c>
      <c r="B196" s="2">
        <v>509505</v>
      </c>
      <c r="C196" s="2" t="s">
        <v>478</v>
      </c>
      <c r="D196" s="2">
        <v>323601796174</v>
      </c>
      <c r="E196" s="2" t="s">
        <v>34</v>
      </c>
      <c r="F196" s="2" t="s">
        <v>35</v>
      </c>
      <c r="G196" s="2" t="s">
        <v>36</v>
      </c>
      <c r="H196" s="2" t="s">
        <v>66</v>
      </c>
      <c r="I196" s="2" t="s">
        <v>52</v>
      </c>
      <c r="J196" s="2">
        <v>347787.5</v>
      </c>
      <c r="K196" s="2" t="s">
        <v>97</v>
      </c>
      <c r="L196" s="3">
        <v>45140</v>
      </c>
      <c r="M196" s="2" t="s">
        <v>23</v>
      </c>
      <c r="N196" s="2">
        <v>1817009.99</v>
      </c>
      <c r="O196" s="2" t="s">
        <v>24</v>
      </c>
      <c r="P196" t="str">
        <f>TEXT(Table1[[#This Row],[Transaction Date]],"mmm")</f>
        <v>Aug</v>
      </c>
    </row>
    <row r="197" spans="1:16" ht="15.75" customHeight="1" x14ac:dyDescent="0.3">
      <c r="A197" s="2" t="s">
        <v>479</v>
      </c>
      <c r="B197" s="2">
        <v>384060</v>
      </c>
      <c r="C197" s="2" t="s">
        <v>480</v>
      </c>
      <c r="D197" s="2">
        <v>174074350282</v>
      </c>
      <c r="E197" s="2" t="s">
        <v>27</v>
      </c>
      <c r="F197" s="2" t="s">
        <v>78</v>
      </c>
      <c r="G197" s="2" t="s">
        <v>79</v>
      </c>
      <c r="H197" s="2" t="s">
        <v>69</v>
      </c>
      <c r="I197" s="2" t="s">
        <v>52</v>
      </c>
      <c r="J197" s="2">
        <v>158285.28</v>
      </c>
      <c r="K197" s="2" t="s">
        <v>97</v>
      </c>
      <c r="L197" s="3">
        <v>45564</v>
      </c>
      <c r="M197" s="2" t="s">
        <v>23</v>
      </c>
      <c r="N197" s="2">
        <v>367563.6</v>
      </c>
      <c r="O197" s="2" t="s">
        <v>24</v>
      </c>
      <c r="P197" t="str">
        <f>TEXT(Table1[[#This Row],[Transaction Date]],"mmm")</f>
        <v>Sep</v>
      </c>
    </row>
    <row r="198" spans="1:16" ht="15.75" customHeight="1" x14ac:dyDescent="0.3">
      <c r="A198" s="2" t="s">
        <v>481</v>
      </c>
      <c r="B198" s="2">
        <v>196463</v>
      </c>
      <c r="C198" s="2" t="s">
        <v>482</v>
      </c>
      <c r="D198" s="2">
        <v>446324586564</v>
      </c>
      <c r="E198" s="2" t="s">
        <v>27</v>
      </c>
      <c r="F198" s="2" t="s">
        <v>215</v>
      </c>
      <c r="G198" s="2" t="s">
        <v>216</v>
      </c>
      <c r="H198" s="2" t="s">
        <v>69</v>
      </c>
      <c r="I198" s="2" t="s">
        <v>47</v>
      </c>
      <c r="J198" s="2">
        <v>232081.79</v>
      </c>
      <c r="K198" s="2" t="s">
        <v>22</v>
      </c>
      <c r="L198" s="3">
        <v>45619</v>
      </c>
      <c r="M198" s="2" t="s">
        <v>23</v>
      </c>
      <c r="N198" s="2">
        <v>1764401.86</v>
      </c>
      <c r="O198" s="2" t="s">
        <v>24</v>
      </c>
      <c r="P198" t="str">
        <f>TEXT(Table1[[#This Row],[Transaction Date]],"mmm")</f>
        <v>Nov</v>
      </c>
    </row>
    <row r="199" spans="1:16" ht="15.75" customHeight="1" x14ac:dyDescent="0.3">
      <c r="A199" s="2" t="s">
        <v>483</v>
      </c>
      <c r="B199" s="2">
        <v>869806</v>
      </c>
      <c r="C199" s="2" t="s">
        <v>484</v>
      </c>
      <c r="D199" s="2">
        <v>993033314029</v>
      </c>
      <c r="E199" s="2" t="s">
        <v>63</v>
      </c>
      <c r="F199" s="2" t="s">
        <v>165</v>
      </c>
      <c r="G199" s="2" t="s">
        <v>166</v>
      </c>
      <c r="H199" s="2" t="s">
        <v>30</v>
      </c>
      <c r="I199" s="2" t="s">
        <v>47</v>
      </c>
      <c r="J199" s="2">
        <v>224004.06</v>
      </c>
      <c r="K199" s="2" t="s">
        <v>38</v>
      </c>
      <c r="L199" s="3">
        <v>45369</v>
      </c>
      <c r="M199" s="2" t="s">
        <v>23</v>
      </c>
      <c r="N199" s="2">
        <v>1785565.49</v>
      </c>
      <c r="O199" s="2" t="s">
        <v>24</v>
      </c>
      <c r="P199" t="str">
        <f>TEXT(Table1[[#This Row],[Transaction Date]],"mmm")</f>
        <v>Mar</v>
      </c>
    </row>
    <row r="200" spans="1:16" ht="15.75" customHeight="1" x14ac:dyDescent="0.3">
      <c r="A200" s="2" t="s">
        <v>485</v>
      </c>
      <c r="B200" s="2">
        <v>916524</v>
      </c>
      <c r="C200" s="2" t="s">
        <v>486</v>
      </c>
      <c r="D200" s="2">
        <v>294611826165</v>
      </c>
      <c r="E200" s="2" t="s">
        <v>17</v>
      </c>
      <c r="F200" s="2" t="s">
        <v>55</v>
      </c>
      <c r="G200" s="2" t="s">
        <v>56</v>
      </c>
      <c r="H200" s="2" t="s">
        <v>69</v>
      </c>
      <c r="I200" s="2" t="s">
        <v>37</v>
      </c>
      <c r="J200" s="2">
        <v>104110.42</v>
      </c>
      <c r="K200" s="2" t="s">
        <v>48</v>
      </c>
      <c r="L200" s="3">
        <v>45618</v>
      </c>
      <c r="M200" s="2" t="s">
        <v>23</v>
      </c>
      <c r="N200" s="2">
        <v>33534.019999999997</v>
      </c>
      <c r="O200" s="2" t="s">
        <v>24</v>
      </c>
      <c r="P200" t="str">
        <f>TEXT(Table1[[#This Row],[Transaction Date]],"mmm")</f>
        <v>Nov</v>
      </c>
    </row>
    <row r="201" spans="1:16" ht="15.75" customHeight="1" x14ac:dyDescent="0.3">
      <c r="A201" s="2" t="s">
        <v>487</v>
      </c>
      <c r="B201" s="2">
        <v>713748</v>
      </c>
      <c r="C201" s="2" t="s">
        <v>488</v>
      </c>
      <c r="D201" s="2">
        <v>104745824924</v>
      </c>
      <c r="E201" s="2" t="s">
        <v>34</v>
      </c>
      <c r="F201" s="2" t="s">
        <v>135</v>
      </c>
      <c r="G201" s="2" t="s">
        <v>136</v>
      </c>
      <c r="H201" s="2" t="s">
        <v>69</v>
      </c>
      <c r="I201" s="2" t="s">
        <v>52</v>
      </c>
      <c r="J201" s="2">
        <v>180619.41</v>
      </c>
      <c r="K201" s="2" t="s">
        <v>22</v>
      </c>
      <c r="L201" s="3">
        <v>45638</v>
      </c>
      <c r="M201" s="2" t="s">
        <v>167</v>
      </c>
      <c r="N201" s="2">
        <v>1138412.6299999999</v>
      </c>
      <c r="O201" s="2" t="s">
        <v>24</v>
      </c>
      <c r="P201" t="str">
        <f>TEXT(Table1[[#This Row],[Transaction Date]],"mmm")</f>
        <v>Dec</v>
      </c>
    </row>
    <row r="202" spans="1:16" ht="15.75" customHeight="1" x14ac:dyDescent="0.3">
      <c r="A202" s="2" t="s">
        <v>489</v>
      </c>
      <c r="B202" s="2">
        <v>147276</v>
      </c>
      <c r="C202" s="2" t="s">
        <v>490</v>
      </c>
      <c r="D202" s="2">
        <v>298367664209</v>
      </c>
      <c r="E202" s="2" t="s">
        <v>90</v>
      </c>
      <c r="F202" s="2" t="s">
        <v>129</v>
      </c>
      <c r="G202" s="2" t="s">
        <v>130</v>
      </c>
      <c r="H202" s="2" t="s">
        <v>30</v>
      </c>
      <c r="I202" s="2" t="s">
        <v>52</v>
      </c>
      <c r="J202" s="2">
        <v>51950.12</v>
      </c>
      <c r="K202" s="2" t="s">
        <v>38</v>
      </c>
      <c r="L202" s="3">
        <v>45700</v>
      </c>
      <c r="M202" s="2" t="s">
        <v>23</v>
      </c>
      <c r="N202" s="2">
        <v>901918.7</v>
      </c>
      <c r="O202" s="2" t="s">
        <v>24</v>
      </c>
      <c r="P202" t="str">
        <f>TEXT(Table1[[#This Row],[Transaction Date]],"mmm")</f>
        <v>Feb</v>
      </c>
    </row>
    <row r="203" spans="1:16" ht="15.75" customHeight="1" x14ac:dyDescent="0.3">
      <c r="A203" s="2" t="s">
        <v>491</v>
      </c>
      <c r="B203" s="2">
        <v>534364</v>
      </c>
      <c r="C203" s="2" t="s">
        <v>492</v>
      </c>
      <c r="D203" s="2">
        <v>908844402758</v>
      </c>
      <c r="E203" s="2" t="s">
        <v>90</v>
      </c>
      <c r="F203" s="2" t="s">
        <v>108</v>
      </c>
      <c r="G203" s="2" t="s">
        <v>109</v>
      </c>
      <c r="H203" s="2" t="s">
        <v>30</v>
      </c>
      <c r="I203" s="2" t="s">
        <v>21</v>
      </c>
      <c r="J203" s="2">
        <v>443370.23999999999</v>
      </c>
      <c r="K203" s="2" t="s">
        <v>38</v>
      </c>
      <c r="L203" s="3">
        <v>45361</v>
      </c>
      <c r="M203" s="2" t="s">
        <v>23</v>
      </c>
      <c r="N203" s="2">
        <v>556602.14</v>
      </c>
      <c r="O203" s="2" t="s">
        <v>24</v>
      </c>
      <c r="P203" t="str">
        <f>TEXT(Table1[[#This Row],[Transaction Date]],"mmm")</f>
        <v>Mar</v>
      </c>
    </row>
    <row r="204" spans="1:16" ht="15.75" customHeight="1" x14ac:dyDescent="0.3">
      <c r="A204" s="2" t="s">
        <v>493</v>
      </c>
      <c r="B204" s="2">
        <v>929089</v>
      </c>
      <c r="C204" s="2" t="s">
        <v>494</v>
      </c>
      <c r="D204" s="2">
        <v>879121856049</v>
      </c>
      <c r="E204" s="2" t="s">
        <v>34</v>
      </c>
      <c r="F204" s="2" t="s">
        <v>59</v>
      </c>
      <c r="G204" s="2" t="s">
        <v>60</v>
      </c>
      <c r="H204" s="2" t="s">
        <v>30</v>
      </c>
      <c r="I204" s="2" t="s">
        <v>21</v>
      </c>
      <c r="J204" s="2">
        <v>282561.71999999997</v>
      </c>
      <c r="K204" s="2" t="s">
        <v>22</v>
      </c>
      <c r="L204" s="3">
        <v>45484</v>
      </c>
      <c r="M204" s="2" t="s">
        <v>49</v>
      </c>
      <c r="N204" s="2">
        <v>1454386.03</v>
      </c>
      <c r="O204" s="2" t="s">
        <v>24</v>
      </c>
      <c r="P204" t="str">
        <f>TEXT(Table1[[#This Row],[Transaction Date]],"mmm")</f>
        <v>Jul</v>
      </c>
    </row>
    <row r="205" spans="1:16" ht="15.75" customHeight="1" x14ac:dyDescent="0.3">
      <c r="A205" s="2" t="s">
        <v>495</v>
      </c>
      <c r="B205" s="2">
        <v>767038</v>
      </c>
      <c r="C205" s="2" t="s">
        <v>496</v>
      </c>
      <c r="D205" s="2">
        <v>448540026288</v>
      </c>
      <c r="E205" s="2" t="s">
        <v>63</v>
      </c>
      <c r="F205" s="2" t="s">
        <v>82</v>
      </c>
      <c r="G205" s="2" t="s">
        <v>83</v>
      </c>
      <c r="H205" s="2" t="s">
        <v>30</v>
      </c>
      <c r="I205" s="2" t="s">
        <v>47</v>
      </c>
      <c r="J205" s="2">
        <v>154737.07</v>
      </c>
      <c r="K205" s="2" t="s">
        <v>31</v>
      </c>
      <c r="L205" s="3">
        <v>45624</v>
      </c>
      <c r="M205" s="2" t="s">
        <v>23</v>
      </c>
      <c r="N205" s="2">
        <v>1021765.12</v>
      </c>
      <c r="O205" s="2" t="s">
        <v>24</v>
      </c>
      <c r="P205" t="str">
        <f>TEXT(Table1[[#This Row],[Transaction Date]],"mmm")</f>
        <v>Nov</v>
      </c>
    </row>
    <row r="206" spans="1:16" ht="15.75" customHeight="1" x14ac:dyDescent="0.3">
      <c r="A206" s="2" t="s">
        <v>497</v>
      </c>
      <c r="B206" s="2">
        <v>661975</v>
      </c>
      <c r="C206" s="2" t="s">
        <v>498</v>
      </c>
      <c r="D206" s="2">
        <v>700954169412</v>
      </c>
      <c r="E206" s="2" t="s">
        <v>90</v>
      </c>
      <c r="F206" s="2" t="s">
        <v>161</v>
      </c>
      <c r="G206" s="2" t="s">
        <v>162</v>
      </c>
      <c r="H206" s="2" t="s">
        <v>20</v>
      </c>
      <c r="I206" s="2" t="s">
        <v>47</v>
      </c>
      <c r="J206" s="2">
        <v>116023.92</v>
      </c>
      <c r="K206" s="2" t="s">
        <v>31</v>
      </c>
      <c r="L206" s="3">
        <v>45761</v>
      </c>
      <c r="M206" s="2" t="s">
        <v>23</v>
      </c>
      <c r="N206" s="2">
        <v>1887254.61</v>
      </c>
      <c r="O206" s="2" t="s">
        <v>24</v>
      </c>
      <c r="P206" t="str">
        <f>TEXT(Table1[[#This Row],[Transaction Date]],"mmm")</f>
        <v>Apr</v>
      </c>
    </row>
    <row r="207" spans="1:16" ht="15.75" customHeight="1" x14ac:dyDescent="0.3">
      <c r="A207" s="2" t="s">
        <v>499</v>
      </c>
      <c r="B207" s="2">
        <v>716285</v>
      </c>
      <c r="C207" s="2" t="s">
        <v>500</v>
      </c>
      <c r="D207" s="2">
        <v>784033043076</v>
      </c>
      <c r="E207" s="2" t="s">
        <v>34</v>
      </c>
      <c r="F207" s="2" t="s">
        <v>35</v>
      </c>
      <c r="G207" s="2" t="s">
        <v>36</v>
      </c>
      <c r="H207" s="2" t="s">
        <v>30</v>
      </c>
      <c r="I207" s="2" t="s">
        <v>21</v>
      </c>
      <c r="J207" s="2">
        <v>70607.77</v>
      </c>
      <c r="K207" s="2" t="s">
        <v>38</v>
      </c>
      <c r="L207" s="3">
        <v>45329</v>
      </c>
      <c r="M207" s="2" t="s">
        <v>23</v>
      </c>
      <c r="N207" s="2">
        <v>1543020.48</v>
      </c>
      <c r="O207" s="2" t="s">
        <v>24</v>
      </c>
      <c r="P207" t="str">
        <f>TEXT(Table1[[#This Row],[Transaction Date]],"mmm")</f>
        <v>Feb</v>
      </c>
    </row>
    <row r="208" spans="1:16" ht="15.75" customHeight="1" x14ac:dyDescent="0.3">
      <c r="A208" s="2" t="s">
        <v>501</v>
      </c>
      <c r="B208" s="2">
        <v>605524</v>
      </c>
      <c r="C208" s="2" t="s">
        <v>502</v>
      </c>
      <c r="D208" s="2">
        <v>956938466004</v>
      </c>
      <c r="E208" s="2" t="s">
        <v>63</v>
      </c>
      <c r="F208" s="2" t="s">
        <v>145</v>
      </c>
      <c r="G208" s="2" t="s">
        <v>146</v>
      </c>
      <c r="H208" s="2" t="s">
        <v>30</v>
      </c>
      <c r="I208" s="2" t="s">
        <v>37</v>
      </c>
      <c r="J208" s="2">
        <v>72811.91</v>
      </c>
      <c r="K208" s="2" t="s">
        <v>38</v>
      </c>
      <c r="L208" s="3">
        <v>45436</v>
      </c>
      <c r="M208" s="2" t="s">
        <v>23</v>
      </c>
      <c r="N208" s="2">
        <v>84736.760000000009</v>
      </c>
      <c r="O208" s="2" t="s">
        <v>24</v>
      </c>
      <c r="P208" t="str">
        <f>TEXT(Table1[[#This Row],[Transaction Date]],"mmm")</f>
        <v>May</v>
      </c>
    </row>
    <row r="209" spans="1:16" ht="15.75" customHeight="1" x14ac:dyDescent="0.3">
      <c r="A209" s="2" t="s">
        <v>503</v>
      </c>
      <c r="B209" s="2">
        <v>765487</v>
      </c>
      <c r="C209" s="2" t="s">
        <v>504</v>
      </c>
      <c r="D209" s="2">
        <v>356872754777</v>
      </c>
      <c r="E209" s="2" t="s">
        <v>34</v>
      </c>
      <c r="F209" s="2" t="s">
        <v>59</v>
      </c>
      <c r="G209" s="2" t="s">
        <v>60</v>
      </c>
      <c r="H209" s="2" t="s">
        <v>30</v>
      </c>
      <c r="I209" s="2" t="s">
        <v>37</v>
      </c>
      <c r="J209" s="2">
        <v>107276.07</v>
      </c>
      <c r="K209" s="2" t="s">
        <v>22</v>
      </c>
      <c r="L209" s="3">
        <v>45658</v>
      </c>
      <c r="M209" s="2" t="s">
        <v>23</v>
      </c>
      <c r="N209" s="2">
        <v>1500386.7</v>
      </c>
      <c r="O209" s="2" t="s">
        <v>24</v>
      </c>
      <c r="P209" t="str">
        <f>TEXT(Table1[[#This Row],[Transaction Date]],"mmm")</f>
        <v>Jan</v>
      </c>
    </row>
    <row r="210" spans="1:16" ht="15.75" customHeight="1" x14ac:dyDescent="0.3">
      <c r="A210" s="2" t="s">
        <v>505</v>
      </c>
      <c r="B210" s="2">
        <v>155745</v>
      </c>
      <c r="C210" s="2" t="s">
        <v>506</v>
      </c>
      <c r="D210" s="2">
        <v>967181974276</v>
      </c>
      <c r="E210" s="2" t="s">
        <v>27</v>
      </c>
      <c r="F210" s="2" t="s">
        <v>28</v>
      </c>
      <c r="G210" s="2" t="s">
        <v>29</v>
      </c>
      <c r="H210" s="2" t="s">
        <v>69</v>
      </c>
      <c r="I210" s="2" t="s">
        <v>21</v>
      </c>
      <c r="J210" s="2">
        <v>91230.37</v>
      </c>
      <c r="K210" s="2" t="s">
        <v>48</v>
      </c>
      <c r="L210" s="3">
        <v>45235</v>
      </c>
      <c r="M210" s="2" t="s">
        <v>23</v>
      </c>
      <c r="N210" s="2">
        <v>1671638.55</v>
      </c>
      <c r="O210" s="2" t="s">
        <v>24</v>
      </c>
      <c r="P210" t="str">
        <f>TEXT(Table1[[#This Row],[Transaction Date]],"mmm")</f>
        <v>Nov</v>
      </c>
    </row>
    <row r="211" spans="1:16" ht="15.75" customHeight="1" x14ac:dyDescent="0.3">
      <c r="A211" s="2" t="s">
        <v>507</v>
      </c>
      <c r="B211" s="2">
        <v>303453</v>
      </c>
      <c r="C211" s="2" t="s">
        <v>508</v>
      </c>
      <c r="D211" s="2">
        <v>243746329004</v>
      </c>
      <c r="E211" s="2" t="s">
        <v>90</v>
      </c>
      <c r="F211" s="2" t="s">
        <v>91</v>
      </c>
      <c r="G211" s="2" t="s">
        <v>92</v>
      </c>
      <c r="H211" s="2" t="s">
        <v>20</v>
      </c>
      <c r="I211" s="2" t="s">
        <v>52</v>
      </c>
      <c r="J211" s="2">
        <v>152931.09</v>
      </c>
      <c r="K211" s="2" t="s">
        <v>48</v>
      </c>
      <c r="L211" s="3">
        <v>45373</v>
      </c>
      <c r="M211" s="2" t="s">
        <v>23</v>
      </c>
      <c r="N211" s="2">
        <v>687439.49</v>
      </c>
      <c r="O211" s="2" t="s">
        <v>24</v>
      </c>
      <c r="P211" t="str">
        <f>TEXT(Table1[[#This Row],[Transaction Date]],"mmm")</f>
        <v>Mar</v>
      </c>
    </row>
    <row r="212" spans="1:16" ht="15.75" customHeight="1" x14ac:dyDescent="0.3">
      <c r="A212" s="2" t="s">
        <v>509</v>
      </c>
      <c r="B212" s="2">
        <v>787015</v>
      </c>
      <c r="C212" s="2" t="s">
        <v>510</v>
      </c>
      <c r="D212" s="2">
        <v>575318543797</v>
      </c>
      <c r="E212" s="2" t="s">
        <v>63</v>
      </c>
      <c r="F212" s="2" t="s">
        <v>165</v>
      </c>
      <c r="G212" s="2" t="s">
        <v>166</v>
      </c>
      <c r="H212" s="2" t="s">
        <v>69</v>
      </c>
      <c r="I212" s="2" t="s">
        <v>37</v>
      </c>
      <c r="J212" s="2">
        <v>79178.86</v>
      </c>
      <c r="K212" s="2" t="s">
        <v>48</v>
      </c>
      <c r="L212" s="3">
        <v>45797</v>
      </c>
      <c r="M212" s="2" t="s">
        <v>23</v>
      </c>
      <c r="N212" s="2">
        <v>1718077.34</v>
      </c>
      <c r="O212" s="2" t="s">
        <v>178</v>
      </c>
      <c r="P212" t="str">
        <f>TEXT(Table1[[#This Row],[Transaction Date]],"mmm")</f>
        <v>May</v>
      </c>
    </row>
    <row r="213" spans="1:16" ht="15.75" customHeight="1" x14ac:dyDescent="0.3">
      <c r="A213" s="2" t="s">
        <v>511</v>
      </c>
      <c r="B213" s="2">
        <v>343315</v>
      </c>
      <c r="C213" s="2" t="s">
        <v>512</v>
      </c>
      <c r="D213" s="2">
        <v>972348027984</v>
      </c>
      <c r="E213" s="2" t="s">
        <v>90</v>
      </c>
      <c r="F213" s="2" t="s">
        <v>108</v>
      </c>
      <c r="G213" s="2" t="s">
        <v>109</v>
      </c>
      <c r="H213" s="2" t="s">
        <v>20</v>
      </c>
      <c r="I213" s="2" t="s">
        <v>47</v>
      </c>
      <c r="J213" s="2">
        <v>56093.16</v>
      </c>
      <c r="K213" s="2" t="s">
        <v>31</v>
      </c>
      <c r="L213" s="3">
        <v>45237</v>
      </c>
      <c r="M213" s="2" t="s">
        <v>23</v>
      </c>
      <c r="N213" s="2">
        <v>2049780.56</v>
      </c>
      <c r="O213" s="2" t="s">
        <v>24</v>
      </c>
      <c r="P213" t="str">
        <f>TEXT(Table1[[#This Row],[Transaction Date]],"mmm")</f>
        <v>Nov</v>
      </c>
    </row>
    <row r="214" spans="1:16" ht="15.75" customHeight="1" x14ac:dyDescent="0.3">
      <c r="A214" s="2" t="s">
        <v>513</v>
      </c>
      <c r="B214" s="2">
        <v>840177</v>
      </c>
      <c r="C214" s="2" t="s">
        <v>514</v>
      </c>
      <c r="D214" s="2">
        <v>620866833278</v>
      </c>
      <c r="E214" s="2" t="s">
        <v>27</v>
      </c>
      <c r="F214" s="2" t="s">
        <v>191</v>
      </c>
      <c r="G214" s="2" t="s">
        <v>192</v>
      </c>
      <c r="H214" s="2" t="s">
        <v>66</v>
      </c>
      <c r="I214" s="2" t="s">
        <v>37</v>
      </c>
      <c r="J214" s="2">
        <v>28423.01</v>
      </c>
      <c r="K214" s="2" t="s">
        <v>97</v>
      </c>
      <c r="L214" s="3">
        <v>45775</v>
      </c>
      <c r="M214" s="2" t="s">
        <v>23</v>
      </c>
      <c r="N214" s="2">
        <v>508306.81999999989</v>
      </c>
      <c r="O214" s="2" t="s">
        <v>24</v>
      </c>
      <c r="P214" t="str">
        <f>TEXT(Table1[[#This Row],[Transaction Date]],"mmm")</f>
        <v>Apr</v>
      </c>
    </row>
    <row r="215" spans="1:16" ht="15.75" customHeight="1" x14ac:dyDescent="0.3">
      <c r="A215" s="2" t="s">
        <v>515</v>
      </c>
      <c r="B215" s="2">
        <v>449494</v>
      </c>
      <c r="C215" s="2" t="s">
        <v>516</v>
      </c>
      <c r="D215" s="2">
        <v>655684209042</v>
      </c>
      <c r="E215" s="2" t="s">
        <v>27</v>
      </c>
      <c r="F215" s="2" t="s">
        <v>28</v>
      </c>
      <c r="G215" s="2" t="s">
        <v>29</v>
      </c>
      <c r="H215" s="2" t="s">
        <v>30</v>
      </c>
      <c r="I215" s="2" t="s">
        <v>47</v>
      </c>
      <c r="J215" s="2">
        <v>265513.02</v>
      </c>
      <c r="K215" s="2" t="s">
        <v>48</v>
      </c>
      <c r="L215" s="3">
        <v>45539</v>
      </c>
      <c r="M215" s="2" t="s">
        <v>23</v>
      </c>
      <c r="N215" s="2">
        <v>1258078.81</v>
      </c>
      <c r="O215" s="2" t="s">
        <v>24</v>
      </c>
      <c r="P215" t="str">
        <f>TEXT(Table1[[#This Row],[Transaction Date]],"mmm")</f>
        <v>Sep</v>
      </c>
    </row>
    <row r="216" spans="1:16" ht="15.75" customHeight="1" x14ac:dyDescent="0.3">
      <c r="A216" s="2" t="s">
        <v>517</v>
      </c>
      <c r="B216" s="2">
        <v>592263</v>
      </c>
      <c r="C216" s="2" t="s">
        <v>518</v>
      </c>
      <c r="D216" s="2">
        <v>393065946926</v>
      </c>
      <c r="E216" s="2" t="s">
        <v>34</v>
      </c>
      <c r="F216" s="2" t="s">
        <v>41</v>
      </c>
      <c r="G216" s="2" t="s">
        <v>42</v>
      </c>
      <c r="H216" s="2" t="s">
        <v>69</v>
      </c>
      <c r="I216" s="2" t="s">
        <v>21</v>
      </c>
      <c r="J216" s="2">
        <v>420524.11</v>
      </c>
      <c r="K216" s="2" t="s">
        <v>31</v>
      </c>
      <c r="L216" s="3">
        <v>45121</v>
      </c>
      <c r="M216" s="2" t="s">
        <v>23</v>
      </c>
      <c r="N216" s="2">
        <v>1287572.97</v>
      </c>
      <c r="O216" s="2" t="s">
        <v>24</v>
      </c>
      <c r="P216" t="str">
        <f>TEXT(Table1[[#This Row],[Transaction Date]],"mmm")</f>
        <v>Jul</v>
      </c>
    </row>
    <row r="217" spans="1:16" ht="15.75" customHeight="1" x14ac:dyDescent="0.3">
      <c r="A217" s="2" t="s">
        <v>519</v>
      </c>
      <c r="B217" s="2">
        <v>903080</v>
      </c>
      <c r="C217" s="2" t="s">
        <v>520</v>
      </c>
      <c r="D217" s="2">
        <v>770477101883</v>
      </c>
      <c r="E217" s="2" t="s">
        <v>63</v>
      </c>
      <c r="F217" s="2" t="s">
        <v>82</v>
      </c>
      <c r="G217" s="2" t="s">
        <v>83</v>
      </c>
      <c r="H217" s="2" t="s">
        <v>66</v>
      </c>
      <c r="I217" s="2" t="s">
        <v>47</v>
      </c>
      <c r="J217" s="2">
        <v>63923.91</v>
      </c>
      <c r="K217" s="2" t="s">
        <v>22</v>
      </c>
      <c r="L217" s="3">
        <v>45367</v>
      </c>
      <c r="M217" s="2" t="s">
        <v>23</v>
      </c>
      <c r="N217" s="2">
        <v>1027058.02</v>
      </c>
      <c r="O217" s="2" t="s">
        <v>24</v>
      </c>
      <c r="P217" t="str">
        <f>TEXT(Table1[[#This Row],[Transaction Date]],"mmm")</f>
        <v>Mar</v>
      </c>
    </row>
    <row r="218" spans="1:16" ht="15.75" customHeight="1" x14ac:dyDescent="0.3">
      <c r="A218" s="2" t="s">
        <v>521</v>
      </c>
      <c r="B218" s="2">
        <v>438809</v>
      </c>
      <c r="C218" s="2" t="s">
        <v>522</v>
      </c>
      <c r="D218" s="2">
        <v>268345748955</v>
      </c>
      <c r="E218" s="2" t="s">
        <v>27</v>
      </c>
      <c r="F218" s="2" t="s">
        <v>215</v>
      </c>
      <c r="G218" s="2" t="s">
        <v>216</v>
      </c>
      <c r="H218" s="2" t="s">
        <v>20</v>
      </c>
      <c r="I218" s="2" t="s">
        <v>47</v>
      </c>
      <c r="J218" s="2">
        <v>146930.62</v>
      </c>
      <c r="K218" s="2" t="s">
        <v>31</v>
      </c>
      <c r="L218" s="3">
        <v>45770</v>
      </c>
      <c r="M218" s="2" t="s">
        <v>23</v>
      </c>
      <c r="N218" s="2">
        <v>744892.46</v>
      </c>
      <c r="O218" s="2" t="s">
        <v>24</v>
      </c>
      <c r="P218" t="str">
        <f>TEXT(Table1[[#This Row],[Transaction Date]],"mmm")</f>
        <v>Apr</v>
      </c>
    </row>
    <row r="219" spans="1:16" ht="15.75" customHeight="1" x14ac:dyDescent="0.3">
      <c r="A219" s="2" t="s">
        <v>523</v>
      </c>
      <c r="B219" s="2">
        <v>521810</v>
      </c>
      <c r="C219" s="2" t="s">
        <v>524</v>
      </c>
      <c r="D219" s="2">
        <v>309101241276</v>
      </c>
      <c r="E219" s="2" t="s">
        <v>90</v>
      </c>
      <c r="F219" s="2" t="s">
        <v>108</v>
      </c>
      <c r="G219" s="2" t="s">
        <v>109</v>
      </c>
      <c r="H219" s="2" t="s">
        <v>66</v>
      </c>
      <c r="I219" s="2" t="s">
        <v>37</v>
      </c>
      <c r="J219" s="2">
        <v>67585.070000000007</v>
      </c>
      <c r="K219" s="2" t="s">
        <v>97</v>
      </c>
      <c r="L219" s="3">
        <v>45572</v>
      </c>
      <c r="M219" s="2" t="s">
        <v>112</v>
      </c>
      <c r="N219" s="2">
        <v>100329.61</v>
      </c>
      <c r="O219" s="2" t="s">
        <v>24</v>
      </c>
      <c r="P219" t="str">
        <f>TEXT(Table1[[#This Row],[Transaction Date]],"mmm")</f>
        <v>Oct</v>
      </c>
    </row>
    <row r="220" spans="1:16" ht="15.75" customHeight="1" x14ac:dyDescent="0.3">
      <c r="A220" s="2" t="s">
        <v>525</v>
      </c>
      <c r="B220" s="2">
        <v>727634</v>
      </c>
      <c r="C220" s="2" t="s">
        <v>526</v>
      </c>
      <c r="D220" s="2">
        <v>543364918707</v>
      </c>
      <c r="E220" s="2" t="s">
        <v>63</v>
      </c>
      <c r="F220" s="2" t="s">
        <v>176</v>
      </c>
      <c r="G220" s="2" t="s">
        <v>177</v>
      </c>
      <c r="H220" s="2" t="s">
        <v>69</v>
      </c>
      <c r="I220" s="2" t="s">
        <v>21</v>
      </c>
      <c r="J220" s="2">
        <v>72775.399999999994</v>
      </c>
      <c r="K220" s="2" t="s">
        <v>38</v>
      </c>
      <c r="L220" s="3">
        <v>45341</v>
      </c>
      <c r="M220" s="2" t="s">
        <v>23</v>
      </c>
      <c r="N220" s="2">
        <v>1528394.35</v>
      </c>
      <c r="O220" s="2" t="s">
        <v>24</v>
      </c>
      <c r="P220" t="str">
        <f>TEXT(Table1[[#This Row],[Transaction Date]],"mmm")</f>
        <v>Feb</v>
      </c>
    </row>
    <row r="221" spans="1:16" ht="15.75" customHeight="1" x14ac:dyDescent="0.3">
      <c r="A221" s="2" t="s">
        <v>527</v>
      </c>
      <c r="B221" s="2">
        <v>149140</v>
      </c>
      <c r="C221" s="2" t="s">
        <v>528</v>
      </c>
      <c r="D221" s="2">
        <v>319552688595</v>
      </c>
      <c r="E221" s="2" t="s">
        <v>17</v>
      </c>
      <c r="F221" s="2" t="s">
        <v>45</v>
      </c>
      <c r="G221" s="2" t="s">
        <v>46</v>
      </c>
      <c r="H221" s="2" t="s">
        <v>66</v>
      </c>
      <c r="I221" s="2" t="s">
        <v>37</v>
      </c>
      <c r="J221" s="2">
        <v>34703.17</v>
      </c>
      <c r="K221" s="2" t="s">
        <v>97</v>
      </c>
      <c r="L221" s="3">
        <v>45765</v>
      </c>
      <c r="M221" s="2" t="s">
        <v>23</v>
      </c>
      <c r="N221" s="2">
        <v>1244069.3400000001</v>
      </c>
      <c r="O221" s="2" t="s">
        <v>24</v>
      </c>
      <c r="P221" t="str">
        <f>TEXT(Table1[[#This Row],[Transaction Date]],"mmm")</f>
        <v>Apr</v>
      </c>
    </row>
    <row r="222" spans="1:16" ht="15.75" customHeight="1" x14ac:dyDescent="0.3">
      <c r="A222" s="2" t="s">
        <v>529</v>
      </c>
      <c r="B222" s="2">
        <v>507147</v>
      </c>
      <c r="C222" s="2" t="s">
        <v>530</v>
      </c>
      <c r="D222" s="2">
        <v>684278087022</v>
      </c>
      <c r="E222" s="2" t="s">
        <v>27</v>
      </c>
      <c r="F222" s="2" t="s">
        <v>149</v>
      </c>
      <c r="G222" s="2" t="s">
        <v>150</v>
      </c>
      <c r="H222" s="2" t="s">
        <v>69</v>
      </c>
      <c r="I222" s="2" t="s">
        <v>47</v>
      </c>
      <c r="J222" s="2">
        <v>45309.52</v>
      </c>
      <c r="K222" s="2" t="s">
        <v>48</v>
      </c>
      <c r="L222" s="3">
        <v>45300</v>
      </c>
      <c r="M222" s="2" t="s">
        <v>112</v>
      </c>
      <c r="N222" s="2">
        <v>334817.68</v>
      </c>
      <c r="O222" s="2" t="s">
        <v>24</v>
      </c>
      <c r="P222" t="str">
        <f>TEXT(Table1[[#This Row],[Transaction Date]],"mmm")</f>
        <v>Jan</v>
      </c>
    </row>
    <row r="223" spans="1:16" ht="15.75" customHeight="1" x14ac:dyDescent="0.3">
      <c r="A223" s="2" t="s">
        <v>531</v>
      </c>
      <c r="B223" s="2">
        <v>196451</v>
      </c>
      <c r="C223" s="2" t="s">
        <v>532</v>
      </c>
      <c r="D223" s="2">
        <v>789357220935</v>
      </c>
      <c r="E223" s="2" t="s">
        <v>63</v>
      </c>
      <c r="F223" s="2" t="s">
        <v>176</v>
      </c>
      <c r="G223" s="2" t="s">
        <v>177</v>
      </c>
      <c r="H223" s="2" t="s">
        <v>20</v>
      </c>
      <c r="I223" s="2" t="s">
        <v>52</v>
      </c>
      <c r="J223" s="2">
        <v>417377.31</v>
      </c>
      <c r="K223" s="2" t="s">
        <v>97</v>
      </c>
      <c r="L223" s="3">
        <v>45154</v>
      </c>
      <c r="M223" s="2" t="s">
        <v>112</v>
      </c>
      <c r="N223" s="2">
        <v>919157.55</v>
      </c>
      <c r="O223" s="2" t="s">
        <v>24</v>
      </c>
      <c r="P223" t="str">
        <f>TEXT(Table1[[#This Row],[Transaction Date]],"mmm")</f>
        <v>Aug</v>
      </c>
    </row>
    <row r="224" spans="1:16" ht="15.75" customHeight="1" x14ac:dyDescent="0.3">
      <c r="A224" s="2" t="s">
        <v>533</v>
      </c>
      <c r="B224" s="2">
        <v>881741</v>
      </c>
      <c r="C224" s="2" t="s">
        <v>534</v>
      </c>
      <c r="D224" s="2">
        <v>559502587824</v>
      </c>
      <c r="E224" s="2" t="s">
        <v>90</v>
      </c>
      <c r="F224" s="2" t="s">
        <v>129</v>
      </c>
      <c r="G224" s="2" t="s">
        <v>130</v>
      </c>
      <c r="H224" s="2" t="s">
        <v>30</v>
      </c>
      <c r="I224" s="2" t="s">
        <v>52</v>
      </c>
      <c r="J224" s="2">
        <v>236145.49</v>
      </c>
      <c r="K224" s="2" t="s">
        <v>31</v>
      </c>
      <c r="L224" s="3">
        <v>45131</v>
      </c>
      <c r="M224" s="2" t="s">
        <v>23</v>
      </c>
      <c r="N224" s="2">
        <v>1685483.16</v>
      </c>
      <c r="O224" s="2" t="s">
        <v>24</v>
      </c>
      <c r="P224" t="str">
        <f>TEXT(Table1[[#This Row],[Transaction Date]],"mmm")</f>
        <v>Jul</v>
      </c>
    </row>
    <row r="225" spans="1:16" ht="15.75" customHeight="1" x14ac:dyDescent="0.3">
      <c r="A225" s="2" t="s">
        <v>535</v>
      </c>
      <c r="B225" s="2">
        <v>441139</v>
      </c>
      <c r="C225" s="2" t="s">
        <v>536</v>
      </c>
      <c r="D225" s="2">
        <v>411549448636</v>
      </c>
      <c r="E225" s="2" t="s">
        <v>34</v>
      </c>
      <c r="F225" s="2" t="s">
        <v>41</v>
      </c>
      <c r="G225" s="2" t="s">
        <v>42</v>
      </c>
      <c r="H225" s="2" t="s">
        <v>69</v>
      </c>
      <c r="I225" s="2" t="s">
        <v>21</v>
      </c>
      <c r="J225" s="2">
        <v>414000.24</v>
      </c>
      <c r="K225" s="2" t="s">
        <v>48</v>
      </c>
      <c r="L225" s="3">
        <v>45270</v>
      </c>
      <c r="M225" s="2" t="s">
        <v>23</v>
      </c>
      <c r="N225" s="2">
        <v>1924698.42</v>
      </c>
      <c r="O225" s="2" t="s">
        <v>24</v>
      </c>
      <c r="P225" t="str">
        <f>TEXT(Table1[[#This Row],[Transaction Date]],"mmm")</f>
        <v>Dec</v>
      </c>
    </row>
    <row r="226" spans="1:16" ht="15.75" customHeight="1" x14ac:dyDescent="0.3">
      <c r="A226" s="2" t="s">
        <v>537</v>
      </c>
      <c r="B226" s="2">
        <v>265807</v>
      </c>
      <c r="C226" s="2" t="s">
        <v>538</v>
      </c>
      <c r="D226" s="2">
        <v>720641924691</v>
      </c>
      <c r="E226" s="2" t="s">
        <v>17</v>
      </c>
      <c r="F226" s="2" t="s">
        <v>45</v>
      </c>
      <c r="G226" s="2" t="s">
        <v>46</v>
      </c>
      <c r="H226" s="2" t="s">
        <v>66</v>
      </c>
      <c r="I226" s="2" t="s">
        <v>37</v>
      </c>
      <c r="J226" s="2">
        <v>40907.24</v>
      </c>
      <c r="K226" s="2" t="s">
        <v>22</v>
      </c>
      <c r="L226" s="3">
        <v>45386</v>
      </c>
      <c r="M226" s="2" t="s">
        <v>23</v>
      </c>
      <c r="N226" s="2">
        <v>284043.40999999997</v>
      </c>
      <c r="O226" s="2" t="s">
        <v>24</v>
      </c>
      <c r="P226" t="str">
        <f>TEXT(Table1[[#This Row],[Transaction Date]],"mmm")</f>
        <v>Apr</v>
      </c>
    </row>
    <row r="227" spans="1:16" ht="15.75" customHeight="1" x14ac:dyDescent="0.3">
      <c r="A227" s="2" t="s">
        <v>539</v>
      </c>
      <c r="B227" s="2">
        <v>570485</v>
      </c>
      <c r="C227" s="2" t="s">
        <v>540</v>
      </c>
      <c r="D227" s="2">
        <v>773335459822</v>
      </c>
      <c r="E227" s="2" t="s">
        <v>34</v>
      </c>
      <c r="F227" s="2" t="s">
        <v>35</v>
      </c>
      <c r="G227" s="2" t="s">
        <v>36</v>
      </c>
      <c r="H227" s="2" t="s">
        <v>66</v>
      </c>
      <c r="I227" s="2" t="s">
        <v>47</v>
      </c>
      <c r="J227" s="2">
        <v>230412.57</v>
      </c>
      <c r="K227" s="2" t="s">
        <v>38</v>
      </c>
      <c r="L227" s="3">
        <v>45612</v>
      </c>
      <c r="M227" s="2" t="s">
        <v>23</v>
      </c>
      <c r="N227" s="2">
        <v>1284629.1200000001</v>
      </c>
      <c r="O227" s="2" t="s">
        <v>24</v>
      </c>
      <c r="P227" t="str">
        <f>TEXT(Table1[[#This Row],[Transaction Date]],"mmm")</f>
        <v>Nov</v>
      </c>
    </row>
    <row r="228" spans="1:16" ht="15.75" customHeight="1" x14ac:dyDescent="0.3">
      <c r="A228" s="2" t="s">
        <v>541</v>
      </c>
      <c r="B228" s="2">
        <v>325170</v>
      </c>
      <c r="C228" s="2" t="s">
        <v>542</v>
      </c>
      <c r="D228" s="2">
        <v>356915330199</v>
      </c>
      <c r="E228" s="2" t="s">
        <v>17</v>
      </c>
      <c r="F228" s="2" t="s">
        <v>86</v>
      </c>
      <c r="G228" s="2" t="s">
        <v>87</v>
      </c>
      <c r="H228" s="2" t="s">
        <v>69</v>
      </c>
      <c r="I228" s="2" t="s">
        <v>52</v>
      </c>
      <c r="J228" s="2">
        <v>331287.71999999997</v>
      </c>
      <c r="K228" s="2" t="s">
        <v>31</v>
      </c>
      <c r="L228" s="3">
        <v>45843</v>
      </c>
      <c r="M228" s="2" t="s">
        <v>23</v>
      </c>
      <c r="N228" s="2">
        <v>1097203.82</v>
      </c>
      <c r="O228" s="2" t="s">
        <v>24</v>
      </c>
      <c r="P228" t="str">
        <f>TEXT(Table1[[#This Row],[Transaction Date]],"mmm")</f>
        <v>Jul</v>
      </c>
    </row>
    <row r="229" spans="1:16" ht="15.75" customHeight="1" x14ac:dyDescent="0.3">
      <c r="A229" s="2" t="s">
        <v>543</v>
      </c>
      <c r="B229" s="2">
        <v>533034</v>
      </c>
      <c r="C229" s="2" t="s">
        <v>544</v>
      </c>
      <c r="D229" s="2">
        <v>393607099649</v>
      </c>
      <c r="E229" s="2" t="s">
        <v>63</v>
      </c>
      <c r="F229" s="2" t="s">
        <v>176</v>
      </c>
      <c r="G229" s="2" t="s">
        <v>177</v>
      </c>
      <c r="H229" s="2" t="s">
        <v>20</v>
      </c>
      <c r="I229" s="2" t="s">
        <v>52</v>
      </c>
      <c r="J229" s="2">
        <v>206178.7</v>
      </c>
      <c r="K229" s="2" t="s">
        <v>97</v>
      </c>
      <c r="L229" s="3">
        <v>45398</v>
      </c>
      <c r="M229" s="2" t="s">
        <v>23</v>
      </c>
      <c r="N229" s="2">
        <v>1251653.83</v>
      </c>
      <c r="O229" s="2" t="s">
        <v>24</v>
      </c>
      <c r="P229" t="str">
        <f>TEXT(Table1[[#This Row],[Transaction Date]],"mmm")</f>
        <v>Apr</v>
      </c>
    </row>
    <row r="230" spans="1:16" ht="15.75" customHeight="1" x14ac:dyDescent="0.3">
      <c r="A230" s="2" t="s">
        <v>545</v>
      </c>
      <c r="B230" s="2">
        <v>677618</v>
      </c>
      <c r="C230" s="2" t="s">
        <v>546</v>
      </c>
      <c r="D230" s="2">
        <v>339400232530</v>
      </c>
      <c r="E230" s="2" t="s">
        <v>34</v>
      </c>
      <c r="F230" s="2" t="s">
        <v>135</v>
      </c>
      <c r="G230" s="2" t="s">
        <v>136</v>
      </c>
      <c r="H230" s="2" t="s">
        <v>20</v>
      </c>
      <c r="I230" s="2" t="s">
        <v>21</v>
      </c>
      <c r="J230" s="2">
        <v>590927.39</v>
      </c>
      <c r="K230" s="2" t="s">
        <v>38</v>
      </c>
      <c r="L230" s="3">
        <v>45436</v>
      </c>
      <c r="M230" s="2" t="s">
        <v>23</v>
      </c>
      <c r="N230" s="2">
        <v>852949.58000000007</v>
      </c>
      <c r="O230" s="2" t="s">
        <v>24</v>
      </c>
      <c r="P230" t="str">
        <f>TEXT(Table1[[#This Row],[Transaction Date]],"mmm")</f>
        <v>May</v>
      </c>
    </row>
    <row r="231" spans="1:16" ht="15.75" customHeight="1" x14ac:dyDescent="0.3">
      <c r="A231" s="2" t="s">
        <v>547</v>
      </c>
      <c r="B231" s="2">
        <v>630575</v>
      </c>
      <c r="C231" s="2" t="s">
        <v>548</v>
      </c>
      <c r="D231" s="2">
        <v>675328116160</v>
      </c>
      <c r="E231" s="2" t="s">
        <v>63</v>
      </c>
      <c r="F231" s="2" t="s">
        <v>165</v>
      </c>
      <c r="G231" s="2" t="s">
        <v>166</v>
      </c>
      <c r="H231" s="2" t="s">
        <v>69</v>
      </c>
      <c r="I231" s="2" t="s">
        <v>52</v>
      </c>
      <c r="J231" s="2">
        <v>357995.77</v>
      </c>
      <c r="K231" s="2" t="s">
        <v>97</v>
      </c>
      <c r="L231" s="3">
        <v>45660</v>
      </c>
      <c r="M231" s="2" t="s">
        <v>23</v>
      </c>
      <c r="N231" s="2">
        <v>1142710.9099999999</v>
      </c>
      <c r="O231" s="2" t="s">
        <v>24</v>
      </c>
      <c r="P231" t="str">
        <f>TEXT(Table1[[#This Row],[Transaction Date]],"mmm")</f>
        <v>Jan</v>
      </c>
    </row>
    <row r="232" spans="1:16" ht="15.75" customHeight="1" x14ac:dyDescent="0.3">
      <c r="A232" s="2" t="s">
        <v>549</v>
      </c>
      <c r="B232" s="2">
        <v>661610</v>
      </c>
      <c r="C232" s="2" t="s">
        <v>550</v>
      </c>
      <c r="D232" s="2">
        <v>636266180100</v>
      </c>
      <c r="E232" s="2" t="s">
        <v>17</v>
      </c>
      <c r="F232" s="2" t="s">
        <v>55</v>
      </c>
      <c r="G232" s="2" t="s">
        <v>56</v>
      </c>
      <c r="H232" s="2" t="s">
        <v>69</v>
      </c>
      <c r="I232" s="2" t="s">
        <v>47</v>
      </c>
      <c r="J232" s="2">
        <v>125983.99</v>
      </c>
      <c r="K232" s="2" t="s">
        <v>48</v>
      </c>
      <c r="L232" s="3">
        <v>45835</v>
      </c>
      <c r="M232" s="2" t="s">
        <v>112</v>
      </c>
      <c r="N232" s="2">
        <v>1804511.38</v>
      </c>
      <c r="O232" s="2" t="s">
        <v>24</v>
      </c>
      <c r="P232" t="str">
        <f>TEXT(Table1[[#This Row],[Transaction Date]],"mmm")</f>
        <v>Jun</v>
      </c>
    </row>
    <row r="233" spans="1:16" ht="15.75" customHeight="1" x14ac:dyDescent="0.3">
      <c r="A233" s="2" t="s">
        <v>551</v>
      </c>
      <c r="B233" s="2">
        <v>275383</v>
      </c>
      <c r="C233" s="2" t="s">
        <v>552</v>
      </c>
      <c r="D233" s="2">
        <v>349805921639</v>
      </c>
      <c r="E233" s="2" t="s">
        <v>90</v>
      </c>
      <c r="F233" s="2" t="s">
        <v>91</v>
      </c>
      <c r="G233" s="2" t="s">
        <v>92</v>
      </c>
      <c r="H233" s="2" t="s">
        <v>69</v>
      </c>
      <c r="I233" s="2" t="s">
        <v>52</v>
      </c>
      <c r="J233" s="2">
        <v>37759.040000000001</v>
      </c>
      <c r="K233" s="2" t="s">
        <v>31</v>
      </c>
      <c r="L233" s="3">
        <v>45273</v>
      </c>
      <c r="M233" s="2" t="s">
        <v>23</v>
      </c>
      <c r="N233" s="2">
        <v>1961954.36</v>
      </c>
      <c r="O233" s="2" t="s">
        <v>24</v>
      </c>
      <c r="P233" t="str">
        <f>TEXT(Table1[[#This Row],[Transaction Date]],"mmm")</f>
        <v>Dec</v>
      </c>
    </row>
    <row r="234" spans="1:16" ht="15.75" customHeight="1" x14ac:dyDescent="0.3">
      <c r="A234" s="2" t="s">
        <v>553</v>
      </c>
      <c r="B234" s="2">
        <v>674437</v>
      </c>
      <c r="C234" s="2" t="s">
        <v>554</v>
      </c>
      <c r="D234" s="2">
        <v>966380460400</v>
      </c>
      <c r="E234" s="2" t="s">
        <v>27</v>
      </c>
      <c r="F234" s="2" t="s">
        <v>215</v>
      </c>
      <c r="G234" s="2" t="s">
        <v>216</v>
      </c>
      <c r="H234" s="2" t="s">
        <v>69</v>
      </c>
      <c r="I234" s="2" t="s">
        <v>52</v>
      </c>
      <c r="J234" s="2">
        <v>470719.47</v>
      </c>
      <c r="K234" s="2" t="s">
        <v>22</v>
      </c>
      <c r="L234" s="3">
        <v>45203</v>
      </c>
      <c r="M234" s="2" t="s">
        <v>23</v>
      </c>
      <c r="N234" s="2">
        <v>1096698.1000000001</v>
      </c>
      <c r="O234" s="2" t="s">
        <v>24</v>
      </c>
      <c r="P234" t="str">
        <f>TEXT(Table1[[#This Row],[Transaction Date]],"mmm")</f>
        <v>Oct</v>
      </c>
    </row>
    <row r="235" spans="1:16" ht="15.75" customHeight="1" x14ac:dyDescent="0.3">
      <c r="A235" s="2" t="s">
        <v>555</v>
      </c>
      <c r="B235" s="2">
        <v>941406</v>
      </c>
      <c r="C235" s="2" t="s">
        <v>556</v>
      </c>
      <c r="D235" s="2">
        <v>148789252268</v>
      </c>
      <c r="E235" s="2" t="s">
        <v>63</v>
      </c>
      <c r="F235" s="2" t="s">
        <v>165</v>
      </c>
      <c r="G235" s="2" t="s">
        <v>166</v>
      </c>
      <c r="H235" s="2" t="s">
        <v>66</v>
      </c>
      <c r="I235" s="2" t="s">
        <v>47</v>
      </c>
      <c r="J235" s="2">
        <v>229396.76</v>
      </c>
      <c r="K235" s="2" t="s">
        <v>38</v>
      </c>
      <c r="L235" s="3">
        <v>45295</v>
      </c>
      <c r="M235" s="2" t="s">
        <v>23</v>
      </c>
      <c r="N235" s="2">
        <v>1119253.7</v>
      </c>
      <c r="O235" s="2" t="s">
        <v>24</v>
      </c>
      <c r="P235" t="str">
        <f>TEXT(Table1[[#This Row],[Transaction Date]],"mmm")</f>
        <v>Jan</v>
      </c>
    </row>
    <row r="236" spans="1:16" ht="15.75" customHeight="1" x14ac:dyDescent="0.3">
      <c r="A236" s="2" t="s">
        <v>557</v>
      </c>
      <c r="B236" s="2">
        <v>112063</v>
      </c>
      <c r="C236" s="2" t="s">
        <v>558</v>
      </c>
      <c r="D236" s="2">
        <v>963159668295</v>
      </c>
      <c r="E236" s="2" t="s">
        <v>90</v>
      </c>
      <c r="F236" s="2" t="s">
        <v>129</v>
      </c>
      <c r="G236" s="2" t="s">
        <v>130</v>
      </c>
      <c r="H236" s="2" t="s">
        <v>66</v>
      </c>
      <c r="I236" s="2" t="s">
        <v>47</v>
      </c>
      <c r="J236" s="2">
        <v>263052.93</v>
      </c>
      <c r="K236" s="2" t="s">
        <v>97</v>
      </c>
      <c r="L236" s="3">
        <v>45367</v>
      </c>
      <c r="M236" s="2" t="s">
        <v>167</v>
      </c>
      <c r="N236" s="2">
        <v>2010231.74</v>
      </c>
      <c r="O236" s="2" t="s">
        <v>178</v>
      </c>
      <c r="P236" t="str">
        <f>TEXT(Table1[[#This Row],[Transaction Date]],"mmm")</f>
        <v>Mar</v>
      </c>
    </row>
    <row r="237" spans="1:16" ht="15.75" customHeight="1" x14ac:dyDescent="0.3">
      <c r="A237" s="2" t="s">
        <v>559</v>
      </c>
      <c r="B237" s="2">
        <v>167371</v>
      </c>
      <c r="C237" s="2" t="s">
        <v>560</v>
      </c>
      <c r="D237" s="2">
        <v>265003686340</v>
      </c>
      <c r="E237" s="2" t="s">
        <v>34</v>
      </c>
      <c r="F237" s="2" t="s">
        <v>59</v>
      </c>
      <c r="G237" s="2" t="s">
        <v>60</v>
      </c>
      <c r="H237" s="2" t="s">
        <v>20</v>
      </c>
      <c r="I237" s="2" t="s">
        <v>52</v>
      </c>
      <c r="J237" s="2">
        <v>343900.3</v>
      </c>
      <c r="K237" s="2" t="s">
        <v>48</v>
      </c>
      <c r="L237" s="3">
        <v>45576</v>
      </c>
      <c r="M237" s="2" t="s">
        <v>167</v>
      </c>
      <c r="N237" s="2">
        <v>1451827.9</v>
      </c>
      <c r="O237" s="2" t="s">
        <v>24</v>
      </c>
      <c r="P237" t="str">
        <f>TEXT(Table1[[#This Row],[Transaction Date]],"mmm")</f>
        <v>Oct</v>
      </c>
    </row>
    <row r="238" spans="1:16" ht="15.75" customHeight="1" x14ac:dyDescent="0.3">
      <c r="A238" s="2" t="s">
        <v>561</v>
      </c>
      <c r="B238" s="2">
        <v>163530</v>
      </c>
      <c r="C238" s="2" t="s">
        <v>562</v>
      </c>
      <c r="D238" s="2">
        <v>284903006756</v>
      </c>
      <c r="E238" s="2" t="s">
        <v>27</v>
      </c>
      <c r="F238" s="2" t="s">
        <v>149</v>
      </c>
      <c r="G238" s="2" t="s">
        <v>150</v>
      </c>
      <c r="H238" s="2" t="s">
        <v>20</v>
      </c>
      <c r="I238" s="2" t="s">
        <v>52</v>
      </c>
      <c r="J238" s="2">
        <v>141940.85999999999</v>
      </c>
      <c r="K238" s="2" t="s">
        <v>22</v>
      </c>
      <c r="L238" s="3">
        <v>45844</v>
      </c>
      <c r="M238" s="2" t="s">
        <v>49</v>
      </c>
      <c r="N238" s="2">
        <v>1414350.1</v>
      </c>
      <c r="O238" s="2" t="s">
        <v>24</v>
      </c>
      <c r="P238" t="str">
        <f>TEXT(Table1[[#This Row],[Transaction Date]],"mmm")</f>
        <v>Jul</v>
      </c>
    </row>
    <row r="239" spans="1:16" ht="15.75" customHeight="1" x14ac:dyDescent="0.3">
      <c r="A239" s="2" t="s">
        <v>563</v>
      </c>
      <c r="B239" s="2">
        <v>450272</v>
      </c>
      <c r="C239" s="2" t="s">
        <v>564</v>
      </c>
      <c r="D239" s="2">
        <v>193418652788</v>
      </c>
      <c r="E239" s="2" t="s">
        <v>27</v>
      </c>
      <c r="F239" s="2" t="s">
        <v>78</v>
      </c>
      <c r="G239" s="2" t="s">
        <v>79</v>
      </c>
      <c r="H239" s="2" t="s">
        <v>69</v>
      </c>
      <c r="I239" s="2" t="s">
        <v>21</v>
      </c>
      <c r="J239" s="2">
        <v>541143.80000000005</v>
      </c>
      <c r="K239" s="2" t="s">
        <v>48</v>
      </c>
      <c r="L239" s="3">
        <v>45663</v>
      </c>
      <c r="M239" s="2" t="s">
        <v>23</v>
      </c>
      <c r="N239" s="2">
        <v>1296566.75</v>
      </c>
      <c r="O239" s="2" t="s">
        <v>24</v>
      </c>
      <c r="P239" t="str">
        <f>TEXT(Table1[[#This Row],[Transaction Date]],"mmm")</f>
        <v>Jan</v>
      </c>
    </row>
    <row r="240" spans="1:16" ht="15.75" customHeight="1" x14ac:dyDescent="0.3">
      <c r="A240" s="2" t="s">
        <v>565</v>
      </c>
      <c r="B240" s="2">
        <v>659251</v>
      </c>
      <c r="C240" s="2" t="s">
        <v>566</v>
      </c>
      <c r="D240" s="2">
        <v>431187283506</v>
      </c>
      <c r="E240" s="2" t="s">
        <v>90</v>
      </c>
      <c r="F240" s="2" t="s">
        <v>91</v>
      </c>
      <c r="G240" s="2" t="s">
        <v>92</v>
      </c>
      <c r="H240" s="2" t="s">
        <v>66</v>
      </c>
      <c r="I240" s="2" t="s">
        <v>47</v>
      </c>
      <c r="J240" s="2">
        <v>12025.06</v>
      </c>
      <c r="K240" s="2" t="s">
        <v>48</v>
      </c>
      <c r="L240" s="3">
        <v>45526</v>
      </c>
      <c r="M240" s="2" t="s">
        <v>167</v>
      </c>
      <c r="N240" s="2">
        <v>1203807.42</v>
      </c>
      <c r="O240" s="2" t="s">
        <v>24</v>
      </c>
      <c r="P240" t="str">
        <f>TEXT(Table1[[#This Row],[Transaction Date]],"mmm")</f>
        <v>Aug</v>
      </c>
    </row>
    <row r="241" spans="1:16" ht="15.75" customHeight="1" x14ac:dyDescent="0.3">
      <c r="A241" s="2" t="s">
        <v>567</v>
      </c>
      <c r="B241" s="2">
        <v>117469</v>
      </c>
      <c r="C241" s="2" t="s">
        <v>568</v>
      </c>
      <c r="D241" s="2">
        <v>145388855042</v>
      </c>
      <c r="E241" s="2" t="s">
        <v>63</v>
      </c>
      <c r="F241" s="2" t="s">
        <v>145</v>
      </c>
      <c r="G241" s="2" t="s">
        <v>146</v>
      </c>
      <c r="H241" s="2" t="s">
        <v>66</v>
      </c>
      <c r="I241" s="2" t="s">
        <v>37</v>
      </c>
      <c r="J241" s="2">
        <v>55705.38</v>
      </c>
      <c r="K241" s="2" t="s">
        <v>38</v>
      </c>
      <c r="L241" s="3">
        <v>45371</v>
      </c>
      <c r="M241" s="2" t="s">
        <v>23</v>
      </c>
      <c r="N241" s="2">
        <v>1599051.25</v>
      </c>
      <c r="O241" s="2" t="s">
        <v>24</v>
      </c>
      <c r="P241" t="str">
        <f>TEXT(Table1[[#This Row],[Transaction Date]],"mmm")</f>
        <v>Mar</v>
      </c>
    </row>
    <row r="242" spans="1:16" ht="15.75" customHeight="1" x14ac:dyDescent="0.3">
      <c r="A242" s="2" t="s">
        <v>569</v>
      </c>
      <c r="B242" s="2">
        <v>725646</v>
      </c>
      <c r="C242" s="2" t="s">
        <v>570</v>
      </c>
      <c r="D242" s="2">
        <v>509479969038</v>
      </c>
      <c r="E242" s="2" t="s">
        <v>27</v>
      </c>
      <c r="F242" s="2" t="s">
        <v>28</v>
      </c>
      <c r="G242" s="2" t="s">
        <v>29</v>
      </c>
      <c r="H242" s="2" t="s">
        <v>69</v>
      </c>
      <c r="I242" s="2" t="s">
        <v>47</v>
      </c>
      <c r="J242" s="2">
        <v>259407.8</v>
      </c>
      <c r="K242" s="2" t="s">
        <v>22</v>
      </c>
      <c r="L242" s="3">
        <v>45556</v>
      </c>
      <c r="M242" s="2" t="s">
        <v>23</v>
      </c>
      <c r="N242" s="2">
        <v>1568771.1</v>
      </c>
      <c r="O242" s="2" t="s">
        <v>24</v>
      </c>
      <c r="P242" t="str">
        <f>TEXT(Table1[[#This Row],[Transaction Date]],"mmm")</f>
        <v>Sep</v>
      </c>
    </row>
    <row r="243" spans="1:16" ht="15.75" customHeight="1" x14ac:dyDescent="0.3">
      <c r="A243" s="2" t="s">
        <v>571</v>
      </c>
      <c r="B243" s="2">
        <v>404602</v>
      </c>
      <c r="C243" s="2" t="s">
        <v>572</v>
      </c>
      <c r="D243" s="2">
        <v>580561786132</v>
      </c>
      <c r="E243" s="2" t="s">
        <v>63</v>
      </c>
      <c r="F243" s="2" t="s">
        <v>82</v>
      </c>
      <c r="G243" s="2" t="s">
        <v>83</v>
      </c>
      <c r="H243" s="2" t="s">
        <v>20</v>
      </c>
      <c r="I243" s="2" t="s">
        <v>52</v>
      </c>
      <c r="J243" s="2">
        <v>321922.8</v>
      </c>
      <c r="K243" s="2" t="s">
        <v>97</v>
      </c>
      <c r="L243" s="3">
        <v>45776</v>
      </c>
      <c r="M243" s="2" t="s">
        <v>23</v>
      </c>
      <c r="N243" s="2">
        <v>502408.24</v>
      </c>
      <c r="O243" s="2" t="s">
        <v>24</v>
      </c>
      <c r="P243" t="str">
        <f>TEXT(Table1[[#This Row],[Transaction Date]],"mmm")</f>
        <v>Apr</v>
      </c>
    </row>
    <row r="244" spans="1:16" ht="15.75" customHeight="1" x14ac:dyDescent="0.3">
      <c r="A244" s="2" t="s">
        <v>573</v>
      </c>
      <c r="B244" s="2">
        <v>725385</v>
      </c>
      <c r="C244" s="2" t="s">
        <v>574</v>
      </c>
      <c r="D244" s="2">
        <v>446588297457</v>
      </c>
      <c r="E244" s="2" t="s">
        <v>63</v>
      </c>
      <c r="F244" s="2" t="s">
        <v>64</v>
      </c>
      <c r="G244" s="2" t="s">
        <v>65</v>
      </c>
      <c r="H244" s="2" t="s">
        <v>66</v>
      </c>
      <c r="I244" s="2" t="s">
        <v>37</v>
      </c>
      <c r="J244" s="2">
        <v>136269.56</v>
      </c>
      <c r="K244" s="2" t="s">
        <v>38</v>
      </c>
      <c r="L244" s="3">
        <v>45403</v>
      </c>
      <c r="M244" s="2" t="s">
        <v>23</v>
      </c>
      <c r="N244" s="2">
        <v>995454.57999999984</v>
      </c>
      <c r="O244" s="2" t="s">
        <v>24</v>
      </c>
      <c r="P244" t="str">
        <f>TEXT(Table1[[#This Row],[Transaction Date]],"mmm")</f>
        <v>Apr</v>
      </c>
    </row>
    <row r="245" spans="1:16" ht="15.75" customHeight="1" x14ac:dyDescent="0.3">
      <c r="A245" s="2" t="s">
        <v>575</v>
      </c>
      <c r="B245" s="2">
        <v>955961</v>
      </c>
      <c r="C245" s="2" t="s">
        <v>576</v>
      </c>
      <c r="D245" s="2">
        <v>702633425078</v>
      </c>
      <c r="E245" s="2" t="s">
        <v>27</v>
      </c>
      <c r="F245" s="2" t="s">
        <v>149</v>
      </c>
      <c r="G245" s="2" t="s">
        <v>150</v>
      </c>
      <c r="H245" s="2" t="s">
        <v>69</v>
      </c>
      <c r="I245" s="2" t="s">
        <v>47</v>
      </c>
      <c r="J245" s="2">
        <v>75538.210000000006</v>
      </c>
      <c r="K245" s="2" t="s">
        <v>31</v>
      </c>
      <c r="L245" s="3">
        <v>45249</v>
      </c>
      <c r="M245" s="2" t="s">
        <v>23</v>
      </c>
      <c r="N245" s="2">
        <v>328211.21000000002</v>
      </c>
      <c r="O245" s="2" t="s">
        <v>24</v>
      </c>
      <c r="P245" t="str">
        <f>TEXT(Table1[[#This Row],[Transaction Date]],"mmm")</f>
        <v>Nov</v>
      </c>
    </row>
    <row r="246" spans="1:16" ht="15.75" customHeight="1" x14ac:dyDescent="0.3">
      <c r="A246" s="2" t="s">
        <v>577</v>
      </c>
      <c r="B246" s="2">
        <v>842640</v>
      </c>
      <c r="C246" s="2" t="s">
        <v>578</v>
      </c>
      <c r="D246" s="2">
        <v>380872047716</v>
      </c>
      <c r="E246" s="2" t="s">
        <v>27</v>
      </c>
      <c r="F246" s="2" t="s">
        <v>28</v>
      </c>
      <c r="G246" s="2" t="s">
        <v>29</v>
      </c>
      <c r="H246" s="2" t="s">
        <v>20</v>
      </c>
      <c r="I246" s="2" t="s">
        <v>47</v>
      </c>
      <c r="J246" s="2">
        <v>153277.59</v>
      </c>
      <c r="K246" s="2" t="s">
        <v>22</v>
      </c>
      <c r="L246" s="3">
        <v>45744</v>
      </c>
      <c r="M246" s="2" t="s">
        <v>49</v>
      </c>
      <c r="N246" s="2">
        <v>1216224.52</v>
      </c>
      <c r="O246" s="2" t="s">
        <v>24</v>
      </c>
      <c r="P246" t="str">
        <f>TEXT(Table1[[#This Row],[Transaction Date]],"mmm")</f>
        <v>Mar</v>
      </c>
    </row>
    <row r="247" spans="1:16" ht="15.75" customHeight="1" x14ac:dyDescent="0.3">
      <c r="A247" s="2" t="s">
        <v>579</v>
      </c>
      <c r="B247" s="2">
        <v>658891</v>
      </c>
      <c r="C247" s="2" t="s">
        <v>580</v>
      </c>
      <c r="D247" s="2">
        <v>714751372463</v>
      </c>
      <c r="E247" s="2" t="s">
        <v>34</v>
      </c>
      <c r="F247" s="2" t="s">
        <v>72</v>
      </c>
      <c r="G247" s="2" t="s">
        <v>73</v>
      </c>
      <c r="H247" s="2" t="s">
        <v>30</v>
      </c>
      <c r="I247" s="2" t="s">
        <v>21</v>
      </c>
      <c r="J247" s="2">
        <v>218521.3</v>
      </c>
      <c r="K247" s="2" t="s">
        <v>31</v>
      </c>
      <c r="L247" s="3">
        <v>45795</v>
      </c>
      <c r="M247" s="2" t="s">
        <v>23</v>
      </c>
      <c r="N247" s="2">
        <v>963128.35000000009</v>
      </c>
      <c r="O247" s="2" t="s">
        <v>24</v>
      </c>
      <c r="P247" t="str">
        <f>TEXT(Table1[[#This Row],[Transaction Date]],"mmm")</f>
        <v>May</v>
      </c>
    </row>
    <row r="248" spans="1:16" ht="15.75" customHeight="1" x14ac:dyDescent="0.3">
      <c r="A248" s="2" t="s">
        <v>581</v>
      </c>
      <c r="B248" s="2">
        <v>760603</v>
      </c>
      <c r="C248" s="2" t="s">
        <v>582</v>
      </c>
      <c r="D248" s="2">
        <v>138839456678</v>
      </c>
      <c r="E248" s="2" t="s">
        <v>34</v>
      </c>
      <c r="F248" s="2" t="s">
        <v>59</v>
      </c>
      <c r="G248" s="2" t="s">
        <v>60</v>
      </c>
      <c r="H248" s="2" t="s">
        <v>69</v>
      </c>
      <c r="I248" s="2" t="s">
        <v>47</v>
      </c>
      <c r="J248" s="2">
        <v>217272.91</v>
      </c>
      <c r="K248" s="2" t="s">
        <v>97</v>
      </c>
      <c r="L248" s="3">
        <v>45609</v>
      </c>
      <c r="M248" s="2" t="s">
        <v>23</v>
      </c>
      <c r="N248" s="2">
        <v>2206115.66</v>
      </c>
      <c r="O248" s="2" t="s">
        <v>24</v>
      </c>
      <c r="P248" t="str">
        <f>TEXT(Table1[[#This Row],[Transaction Date]],"mmm")</f>
        <v>Nov</v>
      </c>
    </row>
    <row r="249" spans="1:16" ht="15.75" customHeight="1" x14ac:dyDescent="0.3">
      <c r="A249" s="2" t="s">
        <v>583</v>
      </c>
      <c r="B249" s="2">
        <v>433063</v>
      </c>
      <c r="C249" s="2" t="s">
        <v>584</v>
      </c>
      <c r="D249" s="2">
        <v>288046549982</v>
      </c>
      <c r="E249" s="2" t="s">
        <v>63</v>
      </c>
      <c r="F249" s="2" t="s">
        <v>176</v>
      </c>
      <c r="G249" s="2" t="s">
        <v>177</v>
      </c>
      <c r="H249" s="2" t="s">
        <v>66</v>
      </c>
      <c r="I249" s="2" t="s">
        <v>21</v>
      </c>
      <c r="J249" s="2">
        <v>143368.07999999999</v>
      </c>
      <c r="K249" s="2" t="s">
        <v>48</v>
      </c>
      <c r="L249" s="3">
        <v>45170</v>
      </c>
      <c r="M249" s="2" t="s">
        <v>23</v>
      </c>
      <c r="N249" s="2">
        <v>1521366.68</v>
      </c>
      <c r="O249" s="2" t="s">
        <v>24</v>
      </c>
      <c r="P249" t="str">
        <f>TEXT(Table1[[#This Row],[Transaction Date]],"mmm")</f>
        <v>Sep</v>
      </c>
    </row>
    <row r="250" spans="1:16" ht="15.75" customHeight="1" x14ac:dyDescent="0.3">
      <c r="A250" s="2" t="s">
        <v>585</v>
      </c>
      <c r="B250" s="2">
        <v>672763</v>
      </c>
      <c r="C250" s="2" t="s">
        <v>586</v>
      </c>
      <c r="D250" s="2">
        <v>387905519517</v>
      </c>
      <c r="E250" s="2" t="s">
        <v>63</v>
      </c>
      <c r="F250" s="2" t="s">
        <v>165</v>
      </c>
      <c r="G250" s="2" t="s">
        <v>166</v>
      </c>
      <c r="H250" s="2" t="s">
        <v>20</v>
      </c>
      <c r="I250" s="2" t="s">
        <v>37</v>
      </c>
      <c r="J250" s="2">
        <v>130031.31</v>
      </c>
      <c r="K250" s="2" t="s">
        <v>22</v>
      </c>
      <c r="L250" s="3">
        <v>45619</v>
      </c>
      <c r="M250" s="2" t="s">
        <v>23</v>
      </c>
      <c r="N250" s="2">
        <v>429077.61</v>
      </c>
      <c r="O250" s="2" t="s">
        <v>24</v>
      </c>
      <c r="P250" t="str">
        <f>TEXT(Table1[[#This Row],[Transaction Date]],"mmm")</f>
        <v>Nov</v>
      </c>
    </row>
    <row r="251" spans="1:16" ht="15.75" customHeight="1" x14ac:dyDescent="0.3">
      <c r="A251" s="2" t="s">
        <v>587</v>
      </c>
      <c r="B251" s="2">
        <v>833709</v>
      </c>
      <c r="C251" s="2" t="s">
        <v>588</v>
      </c>
      <c r="D251" s="2">
        <v>195214730525</v>
      </c>
      <c r="E251" s="2" t="s">
        <v>34</v>
      </c>
      <c r="F251" s="2" t="s">
        <v>72</v>
      </c>
      <c r="G251" s="2" t="s">
        <v>73</v>
      </c>
      <c r="H251" s="2" t="s">
        <v>20</v>
      </c>
      <c r="I251" s="2" t="s">
        <v>21</v>
      </c>
      <c r="J251" s="2">
        <v>376737.14</v>
      </c>
      <c r="K251" s="2" t="s">
        <v>48</v>
      </c>
      <c r="L251" s="3">
        <v>45560</v>
      </c>
      <c r="M251" s="2" t="s">
        <v>23</v>
      </c>
      <c r="N251" s="2">
        <v>2046300.22</v>
      </c>
      <c r="O251" s="2" t="s">
        <v>24</v>
      </c>
      <c r="P251" t="str">
        <f>TEXT(Table1[[#This Row],[Transaction Date]],"mmm")</f>
        <v>Sep</v>
      </c>
    </row>
    <row r="252" spans="1:16" ht="15.75" customHeight="1" x14ac:dyDescent="0.3">
      <c r="A252" s="2" t="s">
        <v>589</v>
      </c>
      <c r="B252" s="2">
        <v>730030</v>
      </c>
      <c r="C252" s="2" t="s">
        <v>590</v>
      </c>
      <c r="D252" s="2">
        <v>937325765058</v>
      </c>
      <c r="E252" s="2" t="s">
        <v>34</v>
      </c>
      <c r="F252" s="2" t="s">
        <v>59</v>
      </c>
      <c r="G252" s="2" t="s">
        <v>60</v>
      </c>
      <c r="H252" s="2" t="s">
        <v>30</v>
      </c>
      <c r="I252" s="2" t="s">
        <v>47</v>
      </c>
      <c r="J252" s="2">
        <v>32866.42</v>
      </c>
      <c r="K252" s="2" t="s">
        <v>97</v>
      </c>
      <c r="L252" s="3">
        <v>45481</v>
      </c>
      <c r="M252" s="2" t="s">
        <v>23</v>
      </c>
      <c r="N252" s="2">
        <v>1682102.9</v>
      </c>
      <c r="O252" s="2" t="s">
        <v>24</v>
      </c>
      <c r="P252" t="str">
        <f>TEXT(Table1[[#This Row],[Transaction Date]],"mmm")</f>
        <v>Jul</v>
      </c>
    </row>
    <row r="253" spans="1:16" ht="15.75" customHeight="1" x14ac:dyDescent="0.3">
      <c r="A253" s="2" t="s">
        <v>591</v>
      </c>
      <c r="B253" s="2">
        <v>973241</v>
      </c>
      <c r="C253" s="2" t="s">
        <v>592</v>
      </c>
      <c r="D253" s="2">
        <v>387860643996</v>
      </c>
      <c r="E253" s="2" t="s">
        <v>17</v>
      </c>
      <c r="F253" s="2" t="s">
        <v>18</v>
      </c>
      <c r="G253" s="2" t="s">
        <v>19</v>
      </c>
      <c r="H253" s="2" t="s">
        <v>20</v>
      </c>
      <c r="I253" s="2" t="s">
        <v>37</v>
      </c>
      <c r="J253" s="2">
        <v>7697.03</v>
      </c>
      <c r="K253" s="2" t="s">
        <v>48</v>
      </c>
      <c r="L253" s="3">
        <v>45414</v>
      </c>
      <c r="M253" s="2" t="s">
        <v>23</v>
      </c>
      <c r="N253" s="2">
        <v>1549364.71</v>
      </c>
      <c r="O253" s="2" t="s">
        <v>24</v>
      </c>
      <c r="P253" t="str">
        <f>TEXT(Table1[[#This Row],[Transaction Date]],"mmm")</f>
        <v>May</v>
      </c>
    </row>
    <row r="254" spans="1:16" ht="15.75" customHeight="1" x14ac:dyDescent="0.3">
      <c r="A254" s="2" t="s">
        <v>593</v>
      </c>
      <c r="B254" s="2">
        <v>700274</v>
      </c>
      <c r="C254" s="2" t="s">
        <v>594</v>
      </c>
      <c r="D254" s="2">
        <v>780371569610</v>
      </c>
      <c r="E254" s="2" t="s">
        <v>17</v>
      </c>
      <c r="F254" s="2" t="s">
        <v>18</v>
      </c>
      <c r="G254" s="2" t="s">
        <v>19</v>
      </c>
      <c r="H254" s="2" t="s">
        <v>69</v>
      </c>
      <c r="I254" s="2" t="s">
        <v>37</v>
      </c>
      <c r="J254" s="2">
        <v>131363.76999999999</v>
      </c>
      <c r="K254" s="2" t="s">
        <v>22</v>
      </c>
      <c r="L254" s="3">
        <v>45118</v>
      </c>
      <c r="M254" s="2" t="s">
        <v>49</v>
      </c>
      <c r="N254" s="2">
        <v>1790482.77</v>
      </c>
      <c r="O254" s="2" t="s">
        <v>24</v>
      </c>
      <c r="P254" t="str">
        <f>TEXT(Table1[[#This Row],[Transaction Date]],"mmm")</f>
        <v>Jul</v>
      </c>
    </row>
    <row r="255" spans="1:16" ht="15.75" customHeight="1" x14ac:dyDescent="0.3">
      <c r="A255" s="2" t="s">
        <v>595</v>
      </c>
      <c r="B255" s="2">
        <v>585434</v>
      </c>
      <c r="C255" s="2" t="s">
        <v>596</v>
      </c>
      <c r="D255" s="2">
        <v>422791292913</v>
      </c>
      <c r="E255" s="2" t="s">
        <v>90</v>
      </c>
      <c r="F255" s="2" t="s">
        <v>108</v>
      </c>
      <c r="G255" s="2" t="s">
        <v>109</v>
      </c>
      <c r="H255" s="2" t="s">
        <v>69</v>
      </c>
      <c r="I255" s="2" t="s">
        <v>47</v>
      </c>
      <c r="J255" s="2">
        <v>197351.19</v>
      </c>
      <c r="K255" s="2" t="s">
        <v>22</v>
      </c>
      <c r="L255" s="3">
        <v>45413</v>
      </c>
      <c r="M255" s="2" t="s">
        <v>23</v>
      </c>
      <c r="N255" s="2">
        <v>735561.71</v>
      </c>
      <c r="O255" s="2" t="s">
        <v>24</v>
      </c>
      <c r="P255" t="str">
        <f>TEXT(Table1[[#This Row],[Transaction Date]],"mmm")</f>
        <v>May</v>
      </c>
    </row>
    <row r="256" spans="1:16" ht="15.75" customHeight="1" x14ac:dyDescent="0.3">
      <c r="A256" s="2" t="s">
        <v>597</v>
      </c>
      <c r="B256" s="2">
        <v>709387</v>
      </c>
      <c r="C256" s="2" t="s">
        <v>598</v>
      </c>
      <c r="D256" s="2">
        <v>685617653836</v>
      </c>
      <c r="E256" s="2" t="s">
        <v>17</v>
      </c>
      <c r="F256" s="2" t="s">
        <v>18</v>
      </c>
      <c r="G256" s="2" t="s">
        <v>19</v>
      </c>
      <c r="H256" s="2" t="s">
        <v>20</v>
      </c>
      <c r="I256" s="2" t="s">
        <v>37</v>
      </c>
      <c r="J256" s="2">
        <v>116639.17</v>
      </c>
      <c r="K256" s="2" t="s">
        <v>48</v>
      </c>
      <c r="L256" s="3">
        <v>45416</v>
      </c>
      <c r="M256" s="2" t="s">
        <v>23</v>
      </c>
      <c r="N256" s="2">
        <v>583495.13</v>
      </c>
      <c r="O256" s="2" t="s">
        <v>24</v>
      </c>
      <c r="P256" t="str">
        <f>TEXT(Table1[[#This Row],[Transaction Date]],"mmm")</f>
        <v>May</v>
      </c>
    </row>
    <row r="257" spans="1:16" ht="15.75" customHeight="1" x14ac:dyDescent="0.3">
      <c r="A257" s="2" t="s">
        <v>599</v>
      </c>
      <c r="B257" s="2">
        <v>545452</v>
      </c>
      <c r="C257" s="2" t="s">
        <v>600</v>
      </c>
      <c r="D257" s="2">
        <v>869888869752</v>
      </c>
      <c r="E257" s="2" t="s">
        <v>34</v>
      </c>
      <c r="F257" s="2" t="s">
        <v>135</v>
      </c>
      <c r="G257" s="2" t="s">
        <v>136</v>
      </c>
      <c r="H257" s="2" t="s">
        <v>20</v>
      </c>
      <c r="I257" s="2" t="s">
        <v>47</v>
      </c>
      <c r="J257" s="2">
        <v>79661.36</v>
      </c>
      <c r="K257" s="2" t="s">
        <v>22</v>
      </c>
      <c r="L257" s="3">
        <v>45577</v>
      </c>
      <c r="M257" s="2" t="s">
        <v>23</v>
      </c>
      <c r="N257" s="2">
        <v>810409.84</v>
      </c>
      <c r="O257" s="2" t="s">
        <v>24</v>
      </c>
      <c r="P257" t="str">
        <f>TEXT(Table1[[#This Row],[Transaction Date]],"mmm")</f>
        <v>Oct</v>
      </c>
    </row>
    <row r="258" spans="1:16" ht="15.75" customHeight="1" x14ac:dyDescent="0.3">
      <c r="A258" s="2" t="s">
        <v>601</v>
      </c>
      <c r="B258" s="2">
        <v>809306</v>
      </c>
      <c r="C258" s="2" t="s">
        <v>602</v>
      </c>
      <c r="D258" s="2">
        <v>317906843145</v>
      </c>
      <c r="E258" s="2" t="s">
        <v>34</v>
      </c>
      <c r="F258" s="2" t="s">
        <v>41</v>
      </c>
      <c r="G258" s="2" t="s">
        <v>42</v>
      </c>
      <c r="H258" s="2" t="s">
        <v>66</v>
      </c>
      <c r="I258" s="2" t="s">
        <v>37</v>
      </c>
      <c r="J258" s="2">
        <v>75168.06</v>
      </c>
      <c r="K258" s="2" t="s">
        <v>48</v>
      </c>
      <c r="L258" s="3">
        <v>45551</v>
      </c>
      <c r="M258" s="2" t="s">
        <v>23</v>
      </c>
      <c r="N258" s="2">
        <v>45789.930000000008</v>
      </c>
      <c r="O258" s="2" t="s">
        <v>24</v>
      </c>
      <c r="P258" t="str">
        <f>TEXT(Table1[[#This Row],[Transaction Date]],"mmm")</f>
        <v>Sep</v>
      </c>
    </row>
    <row r="259" spans="1:16" ht="15.75" customHeight="1" x14ac:dyDescent="0.3">
      <c r="A259" s="2" t="s">
        <v>603</v>
      </c>
      <c r="B259" s="2">
        <v>411009</v>
      </c>
      <c r="C259" s="2" t="s">
        <v>604</v>
      </c>
      <c r="D259" s="2">
        <v>746074720789</v>
      </c>
      <c r="E259" s="2" t="s">
        <v>63</v>
      </c>
      <c r="F259" s="2" t="s">
        <v>176</v>
      </c>
      <c r="G259" s="2" t="s">
        <v>177</v>
      </c>
      <c r="H259" s="2" t="s">
        <v>30</v>
      </c>
      <c r="I259" s="2" t="s">
        <v>47</v>
      </c>
      <c r="J259" s="2">
        <v>129733.4</v>
      </c>
      <c r="K259" s="2" t="s">
        <v>31</v>
      </c>
      <c r="L259" s="3">
        <v>45252</v>
      </c>
      <c r="M259" s="2" t="s">
        <v>23</v>
      </c>
      <c r="N259" s="2">
        <v>872645.98</v>
      </c>
      <c r="O259" s="2" t="s">
        <v>24</v>
      </c>
      <c r="P259" t="str">
        <f>TEXT(Table1[[#This Row],[Transaction Date]],"mmm")</f>
        <v>Nov</v>
      </c>
    </row>
    <row r="260" spans="1:16" ht="15.75" customHeight="1" x14ac:dyDescent="0.3">
      <c r="A260" s="2" t="s">
        <v>605</v>
      </c>
      <c r="B260" s="2">
        <v>704096</v>
      </c>
      <c r="C260" s="2" t="s">
        <v>606</v>
      </c>
      <c r="D260" s="2">
        <v>801626913319</v>
      </c>
      <c r="E260" s="2" t="s">
        <v>90</v>
      </c>
      <c r="F260" s="2" t="s">
        <v>104</v>
      </c>
      <c r="G260" s="2" t="s">
        <v>105</v>
      </c>
      <c r="H260" s="2" t="s">
        <v>69</v>
      </c>
      <c r="I260" s="2" t="s">
        <v>52</v>
      </c>
      <c r="J260" s="2">
        <v>59283.4</v>
      </c>
      <c r="K260" s="2" t="s">
        <v>97</v>
      </c>
      <c r="L260" s="3">
        <v>45602</v>
      </c>
      <c r="M260" s="2" t="s">
        <v>23</v>
      </c>
      <c r="N260" s="2">
        <v>698051.12</v>
      </c>
      <c r="O260" s="2" t="s">
        <v>24</v>
      </c>
      <c r="P260" t="str">
        <f>TEXT(Table1[[#This Row],[Transaction Date]],"mmm")</f>
        <v>Nov</v>
      </c>
    </row>
    <row r="261" spans="1:16" ht="15.75" customHeight="1" x14ac:dyDescent="0.3">
      <c r="A261" s="2" t="s">
        <v>607</v>
      </c>
      <c r="B261" s="2">
        <v>430975</v>
      </c>
      <c r="C261" s="2" t="s">
        <v>608</v>
      </c>
      <c r="D261" s="2">
        <v>552928908176</v>
      </c>
      <c r="E261" s="2" t="s">
        <v>34</v>
      </c>
      <c r="F261" s="2" t="s">
        <v>35</v>
      </c>
      <c r="G261" s="2" t="s">
        <v>36</v>
      </c>
      <c r="H261" s="2" t="s">
        <v>66</v>
      </c>
      <c r="I261" s="2" t="s">
        <v>47</v>
      </c>
      <c r="J261" s="2">
        <v>157373.9</v>
      </c>
      <c r="K261" s="2" t="s">
        <v>97</v>
      </c>
      <c r="L261" s="3">
        <v>45240</v>
      </c>
      <c r="M261" s="2" t="s">
        <v>167</v>
      </c>
      <c r="N261" s="2">
        <v>519917.55</v>
      </c>
      <c r="O261" s="2" t="s">
        <v>24</v>
      </c>
      <c r="P261" t="str">
        <f>TEXT(Table1[[#This Row],[Transaction Date]],"mmm")</f>
        <v>Nov</v>
      </c>
    </row>
    <row r="262" spans="1:16" ht="15.75" customHeight="1" x14ac:dyDescent="0.3">
      <c r="A262" s="2" t="s">
        <v>609</v>
      </c>
      <c r="B262" s="2">
        <v>675778</v>
      </c>
      <c r="C262" s="2" t="s">
        <v>610</v>
      </c>
      <c r="D262" s="2">
        <v>825799561602</v>
      </c>
      <c r="E262" s="2" t="s">
        <v>34</v>
      </c>
      <c r="F262" s="2" t="s">
        <v>41</v>
      </c>
      <c r="G262" s="2" t="s">
        <v>42</v>
      </c>
      <c r="H262" s="2" t="s">
        <v>69</v>
      </c>
      <c r="I262" s="2" t="s">
        <v>52</v>
      </c>
      <c r="J262" s="2">
        <v>395398.6</v>
      </c>
      <c r="K262" s="2" t="s">
        <v>48</v>
      </c>
      <c r="L262" s="3">
        <v>45214</v>
      </c>
      <c r="M262" s="2" t="s">
        <v>23</v>
      </c>
      <c r="N262" s="2">
        <v>1093605.24</v>
      </c>
      <c r="O262" s="2" t="s">
        <v>24</v>
      </c>
      <c r="P262" t="str">
        <f>TEXT(Table1[[#This Row],[Transaction Date]],"mmm")</f>
        <v>Oct</v>
      </c>
    </row>
    <row r="263" spans="1:16" ht="15.75" customHeight="1" x14ac:dyDescent="0.3">
      <c r="A263" s="2" t="s">
        <v>611</v>
      </c>
      <c r="B263" s="2">
        <v>103977</v>
      </c>
      <c r="C263" s="2" t="s">
        <v>612</v>
      </c>
      <c r="D263" s="2">
        <v>355613348806</v>
      </c>
      <c r="E263" s="2" t="s">
        <v>90</v>
      </c>
      <c r="F263" s="2" t="s">
        <v>91</v>
      </c>
      <c r="G263" s="2" t="s">
        <v>92</v>
      </c>
      <c r="H263" s="2" t="s">
        <v>69</v>
      </c>
      <c r="I263" s="2" t="s">
        <v>47</v>
      </c>
      <c r="J263" s="2">
        <v>92274.06</v>
      </c>
      <c r="K263" s="2" t="s">
        <v>38</v>
      </c>
      <c r="L263" s="3">
        <v>45666</v>
      </c>
      <c r="M263" s="2" t="s">
        <v>23</v>
      </c>
      <c r="N263" s="2">
        <v>1309267.04</v>
      </c>
      <c r="O263" s="2" t="s">
        <v>24</v>
      </c>
      <c r="P263" t="str">
        <f>TEXT(Table1[[#This Row],[Transaction Date]],"mmm")</f>
        <v>Jan</v>
      </c>
    </row>
    <row r="264" spans="1:16" ht="15.75" customHeight="1" x14ac:dyDescent="0.3">
      <c r="A264" s="2" t="s">
        <v>613</v>
      </c>
      <c r="B264" s="2">
        <v>749572</v>
      </c>
      <c r="C264" s="2" t="s">
        <v>614</v>
      </c>
      <c r="D264" s="2">
        <v>206600196087</v>
      </c>
      <c r="E264" s="2" t="s">
        <v>63</v>
      </c>
      <c r="F264" s="2" t="s">
        <v>82</v>
      </c>
      <c r="G264" s="2" t="s">
        <v>83</v>
      </c>
      <c r="H264" s="2" t="s">
        <v>69</v>
      </c>
      <c r="I264" s="2" t="s">
        <v>52</v>
      </c>
      <c r="J264" s="2">
        <v>199776.68</v>
      </c>
      <c r="K264" s="2" t="s">
        <v>22</v>
      </c>
      <c r="L264" s="3">
        <v>45240</v>
      </c>
      <c r="M264" s="2" t="s">
        <v>23</v>
      </c>
      <c r="N264" s="2">
        <v>1633607.23</v>
      </c>
      <c r="O264" s="2" t="s">
        <v>24</v>
      </c>
      <c r="P264" t="str">
        <f>TEXT(Table1[[#This Row],[Transaction Date]],"mmm")</f>
        <v>Nov</v>
      </c>
    </row>
    <row r="265" spans="1:16" ht="15.75" customHeight="1" x14ac:dyDescent="0.3">
      <c r="A265" s="2" t="s">
        <v>615</v>
      </c>
      <c r="B265" s="2">
        <v>563828</v>
      </c>
      <c r="C265" s="2" t="s">
        <v>616</v>
      </c>
      <c r="D265" s="2">
        <v>124054946791</v>
      </c>
      <c r="E265" s="2" t="s">
        <v>17</v>
      </c>
      <c r="F265" s="2" t="s">
        <v>45</v>
      </c>
      <c r="G265" s="2" t="s">
        <v>46</v>
      </c>
      <c r="H265" s="2" t="s">
        <v>66</v>
      </c>
      <c r="I265" s="2" t="s">
        <v>47</v>
      </c>
      <c r="J265" s="2">
        <v>284384.93</v>
      </c>
      <c r="K265" s="2" t="s">
        <v>97</v>
      </c>
      <c r="L265" s="3">
        <v>45362</v>
      </c>
      <c r="M265" s="2" t="s">
        <v>23</v>
      </c>
      <c r="N265" s="2">
        <v>840176.1399999999</v>
      </c>
      <c r="O265" s="2" t="s">
        <v>24</v>
      </c>
      <c r="P265" t="str">
        <f>TEXT(Table1[[#This Row],[Transaction Date]],"mmm")</f>
        <v>Mar</v>
      </c>
    </row>
    <row r="266" spans="1:16" ht="15.75" customHeight="1" x14ac:dyDescent="0.3">
      <c r="A266" s="2" t="s">
        <v>617</v>
      </c>
      <c r="B266" s="2">
        <v>731100</v>
      </c>
      <c r="C266" s="2" t="s">
        <v>618</v>
      </c>
      <c r="D266" s="2">
        <v>262964581056</v>
      </c>
      <c r="E266" s="2" t="s">
        <v>34</v>
      </c>
      <c r="F266" s="2" t="s">
        <v>35</v>
      </c>
      <c r="G266" s="2" t="s">
        <v>36</v>
      </c>
      <c r="H266" s="2" t="s">
        <v>20</v>
      </c>
      <c r="I266" s="2" t="s">
        <v>47</v>
      </c>
      <c r="J266" s="2">
        <v>98228.26</v>
      </c>
      <c r="K266" s="2" t="s">
        <v>38</v>
      </c>
      <c r="L266" s="3">
        <v>45327</v>
      </c>
      <c r="M266" s="2" t="s">
        <v>23</v>
      </c>
      <c r="N266" s="2">
        <v>642282.19999999995</v>
      </c>
      <c r="O266" s="2" t="s">
        <v>24</v>
      </c>
      <c r="P266" t="str">
        <f>TEXT(Table1[[#This Row],[Transaction Date]],"mmm")</f>
        <v>Feb</v>
      </c>
    </row>
    <row r="267" spans="1:16" ht="15.75" customHeight="1" x14ac:dyDescent="0.3">
      <c r="A267" s="2" t="s">
        <v>619</v>
      </c>
      <c r="B267" s="2">
        <v>156081</v>
      </c>
      <c r="C267" s="2" t="s">
        <v>620</v>
      </c>
      <c r="D267" s="2">
        <v>211489234529</v>
      </c>
      <c r="E267" s="2" t="s">
        <v>27</v>
      </c>
      <c r="F267" s="2" t="s">
        <v>191</v>
      </c>
      <c r="G267" s="2" t="s">
        <v>192</v>
      </c>
      <c r="H267" s="2" t="s">
        <v>30</v>
      </c>
      <c r="I267" s="2" t="s">
        <v>37</v>
      </c>
      <c r="J267" s="2">
        <v>115176.64</v>
      </c>
      <c r="K267" s="2" t="s">
        <v>31</v>
      </c>
      <c r="L267" s="3">
        <v>45139</v>
      </c>
      <c r="M267" s="2" t="s">
        <v>112</v>
      </c>
      <c r="N267" s="2">
        <v>1728716.25</v>
      </c>
      <c r="O267" s="2" t="s">
        <v>24</v>
      </c>
      <c r="P267" t="str">
        <f>TEXT(Table1[[#This Row],[Transaction Date]],"mmm")</f>
        <v>Aug</v>
      </c>
    </row>
    <row r="268" spans="1:16" ht="15.75" customHeight="1" x14ac:dyDescent="0.3">
      <c r="A268" s="2" t="s">
        <v>621</v>
      </c>
      <c r="B268" s="2">
        <v>776252</v>
      </c>
      <c r="C268" s="2" t="s">
        <v>622</v>
      </c>
      <c r="D268" s="2">
        <v>524989289739</v>
      </c>
      <c r="E268" s="2" t="s">
        <v>63</v>
      </c>
      <c r="F268" s="2" t="s">
        <v>145</v>
      </c>
      <c r="G268" s="2" t="s">
        <v>146</v>
      </c>
      <c r="H268" s="2" t="s">
        <v>69</v>
      </c>
      <c r="I268" s="2" t="s">
        <v>52</v>
      </c>
      <c r="J268" s="2">
        <v>466320.11</v>
      </c>
      <c r="K268" s="2" t="s">
        <v>22</v>
      </c>
      <c r="L268" s="3">
        <v>45646</v>
      </c>
      <c r="M268" s="2" t="s">
        <v>112</v>
      </c>
      <c r="N268" s="2">
        <v>1960336.41</v>
      </c>
      <c r="O268" s="2" t="s">
        <v>24</v>
      </c>
      <c r="P268" t="str">
        <f>TEXT(Table1[[#This Row],[Transaction Date]],"mmm")</f>
        <v>Dec</v>
      </c>
    </row>
    <row r="269" spans="1:16" ht="15.75" customHeight="1" x14ac:dyDescent="0.3">
      <c r="A269" s="2" t="s">
        <v>623</v>
      </c>
      <c r="B269" s="2">
        <v>139106</v>
      </c>
      <c r="C269" s="2" t="s">
        <v>624</v>
      </c>
      <c r="D269" s="2">
        <v>475832206582</v>
      </c>
      <c r="E269" s="2" t="s">
        <v>17</v>
      </c>
      <c r="F269" s="2" t="s">
        <v>45</v>
      </c>
      <c r="G269" s="2" t="s">
        <v>46</v>
      </c>
      <c r="H269" s="2" t="s">
        <v>66</v>
      </c>
      <c r="I269" s="2" t="s">
        <v>47</v>
      </c>
      <c r="J269" s="2">
        <v>200163.67</v>
      </c>
      <c r="K269" s="2" t="s">
        <v>97</v>
      </c>
      <c r="L269" s="3">
        <v>45222</v>
      </c>
      <c r="M269" s="2" t="s">
        <v>167</v>
      </c>
      <c r="N269" s="2">
        <v>415663.7</v>
      </c>
      <c r="O269" s="2" t="s">
        <v>24</v>
      </c>
      <c r="P269" t="str">
        <f>TEXT(Table1[[#This Row],[Transaction Date]],"mmm")</f>
        <v>Oct</v>
      </c>
    </row>
    <row r="270" spans="1:16" ht="15.75" customHeight="1" x14ac:dyDescent="0.3">
      <c r="A270" s="2" t="s">
        <v>625</v>
      </c>
      <c r="B270" s="2">
        <v>694119</v>
      </c>
      <c r="C270" s="2" t="s">
        <v>626</v>
      </c>
      <c r="D270" s="2">
        <v>751228513253</v>
      </c>
      <c r="E270" s="2" t="s">
        <v>63</v>
      </c>
      <c r="F270" s="2" t="s">
        <v>165</v>
      </c>
      <c r="G270" s="2" t="s">
        <v>166</v>
      </c>
      <c r="H270" s="2" t="s">
        <v>30</v>
      </c>
      <c r="I270" s="2" t="s">
        <v>47</v>
      </c>
      <c r="J270" s="2">
        <v>227121.19</v>
      </c>
      <c r="K270" s="2" t="s">
        <v>31</v>
      </c>
      <c r="L270" s="3">
        <v>45792</v>
      </c>
      <c r="M270" s="2" t="s">
        <v>23</v>
      </c>
      <c r="N270" s="2">
        <v>1348492.26</v>
      </c>
      <c r="O270" s="2" t="s">
        <v>24</v>
      </c>
      <c r="P270" t="str">
        <f>TEXT(Table1[[#This Row],[Transaction Date]],"mmm")</f>
        <v>May</v>
      </c>
    </row>
    <row r="271" spans="1:16" ht="15.75" customHeight="1" x14ac:dyDescent="0.3">
      <c r="A271" s="2" t="s">
        <v>627</v>
      </c>
      <c r="B271" s="2">
        <v>523970</v>
      </c>
      <c r="C271" s="2" t="s">
        <v>628</v>
      </c>
      <c r="D271" s="2">
        <v>152931021324</v>
      </c>
      <c r="E271" s="2" t="s">
        <v>17</v>
      </c>
      <c r="F271" s="2" t="s">
        <v>18</v>
      </c>
      <c r="G271" s="2" t="s">
        <v>19</v>
      </c>
      <c r="H271" s="2" t="s">
        <v>66</v>
      </c>
      <c r="I271" s="2" t="s">
        <v>52</v>
      </c>
      <c r="J271" s="2">
        <v>369861.85</v>
      </c>
      <c r="K271" s="2" t="s">
        <v>22</v>
      </c>
      <c r="L271" s="3">
        <v>45295</v>
      </c>
      <c r="M271" s="2" t="s">
        <v>49</v>
      </c>
      <c r="N271" s="2">
        <v>1630300.12</v>
      </c>
      <c r="O271" s="2" t="s">
        <v>24</v>
      </c>
      <c r="P271" t="str">
        <f>TEXT(Table1[[#This Row],[Transaction Date]],"mmm")</f>
        <v>Jan</v>
      </c>
    </row>
    <row r="272" spans="1:16" ht="15.75" customHeight="1" x14ac:dyDescent="0.3">
      <c r="A272" s="2" t="s">
        <v>629</v>
      </c>
      <c r="B272" s="2">
        <v>962182</v>
      </c>
      <c r="C272" s="2" t="s">
        <v>630</v>
      </c>
      <c r="D272" s="2">
        <v>943603317916</v>
      </c>
      <c r="E272" s="2" t="s">
        <v>17</v>
      </c>
      <c r="F272" s="2" t="s">
        <v>45</v>
      </c>
      <c r="G272" s="2" t="s">
        <v>46</v>
      </c>
      <c r="H272" s="2" t="s">
        <v>69</v>
      </c>
      <c r="I272" s="2" t="s">
        <v>21</v>
      </c>
      <c r="J272" s="2">
        <v>381535.21</v>
      </c>
      <c r="K272" s="2" t="s">
        <v>31</v>
      </c>
      <c r="L272" s="3">
        <v>45698</v>
      </c>
      <c r="M272" s="2" t="s">
        <v>23</v>
      </c>
      <c r="N272" s="2">
        <v>1014653.83</v>
      </c>
      <c r="O272" s="2" t="s">
        <v>24</v>
      </c>
      <c r="P272" t="str">
        <f>TEXT(Table1[[#This Row],[Transaction Date]],"mmm")</f>
        <v>Feb</v>
      </c>
    </row>
    <row r="273" spans="1:16" ht="15.75" customHeight="1" x14ac:dyDescent="0.3">
      <c r="A273" s="2" t="s">
        <v>631</v>
      </c>
      <c r="B273" s="2">
        <v>780928</v>
      </c>
      <c r="C273" s="2" t="s">
        <v>632</v>
      </c>
      <c r="D273" s="2">
        <v>491219042136</v>
      </c>
      <c r="E273" s="2" t="s">
        <v>34</v>
      </c>
      <c r="F273" s="2" t="s">
        <v>59</v>
      </c>
      <c r="G273" s="2" t="s">
        <v>60</v>
      </c>
      <c r="H273" s="2" t="s">
        <v>69</v>
      </c>
      <c r="I273" s="2" t="s">
        <v>37</v>
      </c>
      <c r="J273" s="2">
        <v>4845.92</v>
      </c>
      <c r="K273" s="2" t="s">
        <v>48</v>
      </c>
      <c r="L273" s="3">
        <v>45161</v>
      </c>
      <c r="M273" s="2" t="s">
        <v>23</v>
      </c>
      <c r="N273" s="2">
        <v>1977987.89</v>
      </c>
      <c r="O273" s="2" t="s">
        <v>24</v>
      </c>
      <c r="P273" t="str">
        <f>TEXT(Table1[[#This Row],[Transaction Date]],"mmm")</f>
        <v>Aug</v>
      </c>
    </row>
    <row r="274" spans="1:16" ht="15.75" customHeight="1" x14ac:dyDescent="0.3">
      <c r="A274" s="2" t="s">
        <v>633</v>
      </c>
      <c r="B274" s="2">
        <v>421539</v>
      </c>
      <c r="C274" s="2" t="s">
        <v>634</v>
      </c>
      <c r="D274" s="2">
        <v>298594864896</v>
      </c>
      <c r="E274" s="2" t="s">
        <v>63</v>
      </c>
      <c r="F274" s="2" t="s">
        <v>82</v>
      </c>
      <c r="G274" s="2" t="s">
        <v>83</v>
      </c>
      <c r="H274" s="2" t="s">
        <v>66</v>
      </c>
      <c r="I274" s="2" t="s">
        <v>47</v>
      </c>
      <c r="J274" s="2">
        <v>205821.35</v>
      </c>
      <c r="K274" s="2" t="s">
        <v>22</v>
      </c>
      <c r="L274" s="3">
        <v>45757</v>
      </c>
      <c r="M274" s="2" t="s">
        <v>23</v>
      </c>
      <c r="N274" s="2">
        <v>1206544.3400000001</v>
      </c>
      <c r="O274" s="2" t="s">
        <v>24</v>
      </c>
      <c r="P274" t="str">
        <f>TEXT(Table1[[#This Row],[Transaction Date]],"mmm")</f>
        <v>Apr</v>
      </c>
    </row>
    <row r="275" spans="1:16" ht="15.75" customHeight="1" x14ac:dyDescent="0.3">
      <c r="A275" s="2" t="s">
        <v>635</v>
      </c>
      <c r="B275" s="2">
        <v>826365</v>
      </c>
      <c r="C275" s="2" t="s">
        <v>636</v>
      </c>
      <c r="D275" s="2">
        <v>497519884299</v>
      </c>
      <c r="E275" s="2" t="s">
        <v>17</v>
      </c>
      <c r="F275" s="2" t="s">
        <v>155</v>
      </c>
      <c r="G275" s="2" t="s">
        <v>156</v>
      </c>
      <c r="H275" s="2" t="s">
        <v>20</v>
      </c>
      <c r="I275" s="2" t="s">
        <v>21</v>
      </c>
      <c r="J275" s="2">
        <v>193788.6</v>
      </c>
      <c r="K275" s="2" t="s">
        <v>97</v>
      </c>
      <c r="L275" s="3">
        <v>45402</v>
      </c>
      <c r="M275" s="2" t="s">
        <v>23</v>
      </c>
      <c r="N275" s="2">
        <v>1163250.32</v>
      </c>
      <c r="O275" s="2" t="s">
        <v>24</v>
      </c>
      <c r="P275" t="str">
        <f>TEXT(Table1[[#This Row],[Transaction Date]],"mmm")</f>
        <v>Apr</v>
      </c>
    </row>
    <row r="276" spans="1:16" ht="15.75" customHeight="1" x14ac:dyDescent="0.3">
      <c r="A276" s="2" t="s">
        <v>637</v>
      </c>
      <c r="B276" s="2">
        <v>579900</v>
      </c>
      <c r="C276" s="2" t="s">
        <v>638</v>
      </c>
      <c r="D276" s="2">
        <v>201644180608</v>
      </c>
      <c r="E276" s="2" t="s">
        <v>27</v>
      </c>
      <c r="F276" s="2" t="s">
        <v>149</v>
      </c>
      <c r="G276" s="2" t="s">
        <v>150</v>
      </c>
      <c r="H276" s="2" t="s">
        <v>66</v>
      </c>
      <c r="I276" s="2" t="s">
        <v>37</v>
      </c>
      <c r="J276" s="2">
        <v>126460.13</v>
      </c>
      <c r="K276" s="2" t="s">
        <v>31</v>
      </c>
      <c r="L276" s="3">
        <v>45690</v>
      </c>
      <c r="M276" s="2" t="s">
        <v>23</v>
      </c>
      <c r="N276" s="2">
        <v>1739088.85</v>
      </c>
      <c r="O276" s="2" t="s">
        <v>24</v>
      </c>
      <c r="P276" t="str">
        <f>TEXT(Table1[[#This Row],[Transaction Date]],"mmm")</f>
        <v>Feb</v>
      </c>
    </row>
    <row r="277" spans="1:16" ht="15.75" customHeight="1" x14ac:dyDescent="0.3">
      <c r="A277" s="2" t="s">
        <v>639</v>
      </c>
      <c r="B277" s="2">
        <v>792044</v>
      </c>
      <c r="C277" s="2" t="s">
        <v>640</v>
      </c>
      <c r="D277" s="2">
        <v>608496244258</v>
      </c>
      <c r="E277" s="2" t="s">
        <v>63</v>
      </c>
      <c r="F277" s="2" t="s">
        <v>176</v>
      </c>
      <c r="G277" s="2" t="s">
        <v>177</v>
      </c>
      <c r="H277" s="2" t="s">
        <v>30</v>
      </c>
      <c r="I277" s="2" t="s">
        <v>52</v>
      </c>
      <c r="J277" s="2">
        <v>272401.31</v>
      </c>
      <c r="K277" s="2" t="s">
        <v>22</v>
      </c>
      <c r="L277" s="3">
        <v>45734</v>
      </c>
      <c r="M277" s="2" t="s">
        <v>23</v>
      </c>
      <c r="N277" s="2">
        <v>1061842.3999999999</v>
      </c>
      <c r="O277" s="2" t="s">
        <v>24</v>
      </c>
      <c r="P277" t="str">
        <f>TEXT(Table1[[#This Row],[Transaction Date]],"mmm")</f>
        <v>Mar</v>
      </c>
    </row>
    <row r="278" spans="1:16" ht="15.75" customHeight="1" x14ac:dyDescent="0.3">
      <c r="A278" s="2" t="s">
        <v>641</v>
      </c>
      <c r="B278" s="2">
        <v>854536</v>
      </c>
      <c r="C278" s="2" t="s">
        <v>642</v>
      </c>
      <c r="D278" s="2">
        <v>533388275492</v>
      </c>
      <c r="E278" s="2" t="s">
        <v>90</v>
      </c>
      <c r="F278" s="2" t="s">
        <v>108</v>
      </c>
      <c r="G278" s="2" t="s">
        <v>109</v>
      </c>
      <c r="H278" s="2" t="s">
        <v>66</v>
      </c>
      <c r="I278" s="2" t="s">
        <v>21</v>
      </c>
      <c r="J278" s="2">
        <v>584071.86</v>
      </c>
      <c r="K278" s="2" t="s">
        <v>22</v>
      </c>
      <c r="L278" s="3">
        <v>45275</v>
      </c>
      <c r="M278" s="2" t="s">
        <v>23</v>
      </c>
      <c r="N278" s="2">
        <v>981560.64999999991</v>
      </c>
      <c r="O278" s="2" t="s">
        <v>24</v>
      </c>
      <c r="P278" t="str">
        <f>TEXT(Table1[[#This Row],[Transaction Date]],"mmm")</f>
        <v>Dec</v>
      </c>
    </row>
    <row r="279" spans="1:16" ht="15.75" customHeight="1" x14ac:dyDescent="0.3">
      <c r="A279" s="2" t="s">
        <v>643</v>
      </c>
      <c r="B279" s="2">
        <v>247151</v>
      </c>
      <c r="C279" s="2" t="s">
        <v>644</v>
      </c>
      <c r="D279" s="2">
        <v>926782138535</v>
      </c>
      <c r="E279" s="2" t="s">
        <v>27</v>
      </c>
      <c r="F279" s="2" t="s">
        <v>28</v>
      </c>
      <c r="G279" s="2" t="s">
        <v>29</v>
      </c>
      <c r="H279" s="2" t="s">
        <v>69</v>
      </c>
      <c r="I279" s="2" t="s">
        <v>21</v>
      </c>
      <c r="J279" s="2">
        <v>314411.17</v>
      </c>
      <c r="K279" s="2" t="s">
        <v>38</v>
      </c>
      <c r="L279" s="3">
        <v>45336</v>
      </c>
      <c r="M279" s="2" t="s">
        <v>23</v>
      </c>
      <c r="N279" s="2">
        <v>1156721.3700000001</v>
      </c>
      <c r="O279" s="2" t="s">
        <v>24</v>
      </c>
      <c r="P279" t="str">
        <f>TEXT(Table1[[#This Row],[Transaction Date]],"mmm")</f>
        <v>Feb</v>
      </c>
    </row>
    <row r="280" spans="1:16" ht="15.75" customHeight="1" x14ac:dyDescent="0.3">
      <c r="A280" s="2" t="s">
        <v>645</v>
      </c>
      <c r="B280" s="2">
        <v>116982</v>
      </c>
      <c r="C280" s="2" t="s">
        <v>646</v>
      </c>
      <c r="D280" s="2">
        <v>123840092510</v>
      </c>
      <c r="E280" s="2" t="s">
        <v>17</v>
      </c>
      <c r="F280" s="2" t="s">
        <v>18</v>
      </c>
      <c r="G280" s="2" t="s">
        <v>19</v>
      </c>
      <c r="H280" s="2" t="s">
        <v>30</v>
      </c>
      <c r="I280" s="2" t="s">
        <v>47</v>
      </c>
      <c r="J280" s="2">
        <v>11969.71</v>
      </c>
      <c r="K280" s="2" t="s">
        <v>22</v>
      </c>
      <c r="L280" s="3">
        <v>45570</v>
      </c>
      <c r="M280" s="2" t="s">
        <v>23</v>
      </c>
      <c r="N280" s="2">
        <v>501200.97</v>
      </c>
      <c r="O280" s="2" t="s">
        <v>24</v>
      </c>
      <c r="P280" t="str">
        <f>TEXT(Table1[[#This Row],[Transaction Date]],"mmm")</f>
        <v>Oct</v>
      </c>
    </row>
    <row r="281" spans="1:16" ht="15.75" customHeight="1" x14ac:dyDescent="0.3">
      <c r="A281" s="2" t="s">
        <v>647</v>
      </c>
      <c r="B281" s="2">
        <v>588946</v>
      </c>
      <c r="C281" s="2" t="s">
        <v>648</v>
      </c>
      <c r="D281" s="2">
        <v>171963031441</v>
      </c>
      <c r="E281" s="2" t="s">
        <v>63</v>
      </c>
      <c r="F281" s="2" t="s">
        <v>145</v>
      </c>
      <c r="G281" s="2" t="s">
        <v>146</v>
      </c>
      <c r="H281" s="2" t="s">
        <v>66</v>
      </c>
      <c r="I281" s="2" t="s">
        <v>37</v>
      </c>
      <c r="J281" s="2">
        <v>116669.04</v>
      </c>
      <c r="K281" s="2" t="s">
        <v>22</v>
      </c>
      <c r="L281" s="3">
        <v>45262</v>
      </c>
      <c r="M281" s="2" t="s">
        <v>23</v>
      </c>
      <c r="N281" s="2">
        <v>1108834.99</v>
      </c>
      <c r="O281" s="2" t="s">
        <v>24</v>
      </c>
      <c r="P281" t="str">
        <f>TEXT(Table1[[#This Row],[Transaction Date]],"mmm")</f>
        <v>Dec</v>
      </c>
    </row>
    <row r="282" spans="1:16" ht="15.75" customHeight="1" x14ac:dyDescent="0.3">
      <c r="A282" s="2" t="s">
        <v>649</v>
      </c>
      <c r="B282" s="2">
        <v>316547</v>
      </c>
      <c r="C282" s="2" t="s">
        <v>650</v>
      </c>
      <c r="D282" s="2">
        <v>641936362459</v>
      </c>
      <c r="E282" s="2" t="s">
        <v>63</v>
      </c>
      <c r="F282" s="2" t="s">
        <v>145</v>
      </c>
      <c r="G282" s="2" t="s">
        <v>146</v>
      </c>
      <c r="H282" s="2" t="s">
        <v>69</v>
      </c>
      <c r="I282" s="2" t="s">
        <v>52</v>
      </c>
      <c r="J282" s="2">
        <v>443587.6</v>
      </c>
      <c r="K282" s="2" t="s">
        <v>22</v>
      </c>
      <c r="L282" s="3">
        <v>45352</v>
      </c>
      <c r="M282" s="2" t="s">
        <v>23</v>
      </c>
      <c r="N282" s="2">
        <v>1996546.47</v>
      </c>
      <c r="O282" s="2" t="s">
        <v>24</v>
      </c>
      <c r="P282" t="str">
        <f>TEXT(Table1[[#This Row],[Transaction Date]],"mmm")</f>
        <v>Mar</v>
      </c>
    </row>
    <row r="283" spans="1:16" ht="15.75" customHeight="1" x14ac:dyDescent="0.3">
      <c r="A283" s="2" t="s">
        <v>651</v>
      </c>
      <c r="B283" s="2">
        <v>492092</v>
      </c>
      <c r="C283" s="2" t="s">
        <v>652</v>
      </c>
      <c r="D283" s="2">
        <v>564967692986</v>
      </c>
      <c r="E283" s="2" t="s">
        <v>27</v>
      </c>
      <c r="F283" s="2" t="s">
        <v>28</v>
      </c>
      <c r="G283" s="2" t="s">
        <v>29</v>
      </c>
      <c r="H283" s="2" t="s">
        <v>30</v>
      </c>
      <c r="I283" s="2" t="s">
        <v>47</v>
      </c>
      <c r="J283" s="2">
        <v>101848.93</v>
      </c>
      <c r="K283" s="2" t="s">
        <v>31</v>
      </c>
      <c r="L283" s="3">
        <v>45243</v>
      </c>
      <c r="M283" s="2" t="s">
        <v>23</v>
      </c>
      <c r="N283" s="2">
        <v>1018560.23</v>
      </c>
      <c r="O283" s="2" t="s">
        <v>24</v>
      </c>
      <c r="P283" t="str">
        <f>TEXT(Table1[[#This Row],[Transaction Date]],"mmm")</f>
        <v>Nov</v>
      </c>
    </row>
    <row r="284" spans="1:16" ht="15.75" customHeight="1" x14ac:dyDescent="0.3">
      <c r="A284" s="2" t="s">
        <v>653</v>
      </c>
      <c r="B284" s="2">
        <v>689047</v>
      </c>
      <c r="C284" s="2" t="s">
        <v>654</v>
      </c>
      <c r="D284" s="2">
        <v>494929654093</v>
      </c>
      <c r="E284" s="2" t="s">
        <v>17</v>
      </c>
      <c r="F284" s="2" t="s">
        <v>155</v>
      </c>
      <c r="G284" s="2" t="s">
        <v>156</v>
      </c>
      <c r="H284" s="2" t="s">
        <v>66</v>
      </c>
      <c r="I284" s="2" t="s">
        <v>37</v>
      </c>
      <c r="J284" s="2">
        <v>10185.450000000001</v>
      </c>
      <c r="K284" s="2" t="s">
        <v>31</v>
      </c>
      <c r="L284" s="3">
        <v>45320</v>
      </c>
      <c r="M284" s="2" t="s">
        <v>23</v>
      </c>
      <c r="N284" s="2">
        <v>659150.17000000004</v>
      </c>
      <c r="O284" s="2" t="s">
        <v>24</v>
      </c>
      <c r="P284" t="str">
        <f>TEXT(Table1[[#This Row],[Transaction Date]],"mmm")</f>
        <v>Jan</v>
      </c>
    </row>
    <row r="285" spans="1:16" ht="15.75" customHeight="1" x14ac:dyDescent="0.3">
      <c r="A285" s="2" t="s">
        <v>655</v>
      </c>
      <c r="B285" s="2">
        <v>362079</v>
      </c>
      <c r="C285" s="2" t="s">
        <v>656</v>
      </c>
      <c r="D285" s="2">
        <v>119549755173</v>
      </c>
      <c r="E285" s="2" t="s">
        <v>63</v>
      </c>
      <c r="F285" s="2" t="s">
        <v>165</v>
      </c>
      <c r="G285" s="2" t="s">
        <v>166</v>
      </c>
      <c r="H285" s="2" t="s">
        <v>30</v>
      </c>
      <c r="I285" s="2" t="s">
        <v>37</v>
      </c>
      <c r="J285" s="2">
        <v>1553.42</v>
      </c>
      <c r="K285" s="2" t="s">
        <v>22</v>
      </c>
      <c r="L285" s="3">
        <v>45621</v>
      </c>
      <c r="M285" s="2" t="s">
        <v>23</v>
      </c>
      <c r="N285" s="2">
        <v>1995705.93</v>
      </c>
      <c r="O285" s="2" t="s">
        <v>24</v>
      </c>
      <c r="P285" t="str">
        <f>TEXT(Table1[[#This Row],[Transaction Date]],"mmm")</f>
        <v>Nov</v>
      </c>
    </row>
    <row r="286" spans="1:16" ht="15.75" customHeight="1" x14ac:dyDescent="0.3">
      <c r="A286" s="2" t="s">
        <v>657</v>
      </c>
      <c r="B286" s="2">
        <v>856677</v>
      </c>
      <c r="C286" s="2" t="s">
        <v>658</v>
      </c>
      <c r="D286" s="2">
        <v>124406358417</v>
      </c>
      <c r="E286" s="2" t="s">
        <v>27</v>
      </c>
      <c r="F286" s="2" t="s">
        <v>215</v>
      </c>
      <c r="G286" s="2" t="s">
        <v>216</v>
      </c>
      <c r="H286" s="2" t="s">
        <v>30</v>
      </c>
      <c r="I286" s="2" t="s">
        <v>37</v>
      </c>
      <c r="J286" s="2">
        <v>60785.43</v>
      </c>
      <c r="K286" s="2" t="s">
        <v>48</v>
      </c>
      <c r="L286" s="3">
        <v>45189</v>
      </c>
      <c r="M286" s="2" t="s">
        <v>23</v>
      </c>
      <c r="N286" s="2">
        <v>1643531.92</v>
      </c>
      <c r="O286" s="2" t="s">
        <v>24</v>
      </c>
      <c r="P286" t="str">
        <f>TEXT(Table1[[#This Row],[Transaction Date]],"mmm")</f>
        <v>Sep</v>
      </c>
    </row>
    <row r="287" spans="1:16" ht="15.75" customHeight="1" x14ac:dyDescent="0.3">
      <c r="A287" s="2" t="s">
        <v>659</v>
      </c>
      <c r="B287" s="2">
        <v>740300</v>
      </c>
      <c r="C287" s="2" t="s">
        <v>660</v>
      </c>
      <c r="D287" s="2">
        <v>994560173406</v>
      </c>
      <c r="E287" s="2" t="s">
        <v>17</v>
      </c>
      <c r="F287" s="2" t="s">
        <v>18</v>
      </c>
      <c r="G287" s="2" t="s">
        <v>19</v>
      </c>
      <c r="H287" s="2" t="s">
        <v>69</v>
      </c>
      <c r="I287" s="2" t="s">
        <v>52</v>
      </c>
      <c r="J287" s="2">
        <v>26356.89</v>
      </c>
      <c r="K287" s="2" t="s">
        <v>48</v>
      </c>
      <c r="L287" s="3">
        <v>45420</v>
      </c>
      <c r="M287" s="2" t="s">
        <v>23</v>
      </c>
      <c r="N287" s="2">
        <v>2014129.86</v>
      </c>
      <c r="O287" s="2" t="s">
        <v>24</v>
      </c>
      <c r="P287" t="str">
        <f>TEXT(Table1[[#This Row],[Transaction Date]],"mmm")</f>
        <v>May</v>
      </c>
    </row>
    <row r="288" spans="1:16" ht="15.75" customHeight="1" x14ac:dyDescent="0.3">
      <c r="A288" s="2" t="s">
        <v>661</v>
      </c>
      <c r="B288" s="2">
        <v>879380</v>
      </c>
      <c r="C288" s="2" t="s">
        <v>662</v>
      </c>
      <c r="D288" s="2">
        <v>136882903943</v>
      </c>
      <c r="E288" s="2" t="s">
        <v>34</v>
      </c>
      <c r="F288" s="2" t="s">
        <v>135</v>
      </c>
      <c r="G288" s="2" t="s">
        <v>136</v>
      </c>
      <c r="H288" s="2" t="s">
        <v>20</v>
      </c>
      <c r="I288" s="2" t="s">
        <v>52</v>
      </c>
      <c r="J288" s="2">
        <v>426792.12</v>
      </c>
      <c r="K288" s="2" t="s">
        <v>22</v>
      </c>
      <c r="L288" s="3">
        <v>45279</v>
      </c>
      <c r="M288" s="2" t="s">
        <v>23</v>
      </c>
      <c r="N288" s="2">
        <v>1603328.83</v>
      </c>
      <c r="O288" s="2" t="s">
        <v>24</v>
      </c>
      <c r="P288" t="str">
        <f>TEXT(Table1[[#This Row],[Transaction Date]],"mmm")</f>
        <v>Dec</v>
      </c>
    </row>
    <row r="289" spans="1:16" ht="15.75" customHeight="1" x14ac:dyDescent="0.3">
      <c r="A289" s="2" t="s">
        <v>663</v>
      </c>
      <c r="B289" s="2">
        <v>801581</v>
      </c>
      <c r="C289" s="2" t="s">
        <v>664</v>
      </c>
      <c r="D289" s="2">
        <v>217777372658</v>
      </c>
      <c r="E289" s="2" t="s">
        <v>17</v>
      </c>
      <c r="F289" s="2" t="s">
        <v>155</v>
      </c>
      <c r="G289" s="2" t="s">
        <v>156</v>
      </c>
      <c r="H289" s="2" t="s">
        <v>69</v>
      </c>
      <c r="I289" s="2" t="s">
        <v>52</v>
      </c>
      <c r="J289" s="2">
        <v>491742.99</v>
      </c>
      <c r="K289" s="2" t="s">
        <v>22</v>
      </c>
      <c r="L289" s="3">
        <v>45255</v>
      </c>
      <c r="M289" s="2" t="s">
        <v>23</v>
      </c>
      <c r="N289" s="2">
        <v>1035990.72</v>
      </c>
      <c r="O289" s="2" t="s">
        <v>24</v>
      </c>
      <c r="P289" t="str">
        <f>TEXT(Table1[[#This Row],[Transaction Date]],"mmm")</f>
        <v>Nov</v>
      </c>
    </row>
    <row r="290" spans="1:16" ht="15.75" customHeight="1" x14ac:dyDescent="0.3">
      <c r="A290" s="2" t="s">
        <v>665</v>
      </c>
      <c r="B290" s="2">
        <v>961459</v>
      </c>
      <c r="C290" s="2" t="s">
        <v>666</v>
      </c>
      <c r="D290" s="2">
        <v>437188099042</v>
      </c>
      <c r="E290" s="2" t="s">
        <v>63</v>
      </c>
      <c r="F290" s="2" t="s">
        <v>82</v>
      </c>
      <c r="G290" s="2" t="s">
        <v>83</v>
      </c>
      <c r="H290" s="2" t="s">
        <v>69</v>
      </c>
      <c r="I290" s="2" t="s">
        <v>52</v>
      </c>
      <c r="J290" s="2">
        <v>189663.01</v>
      </c>
      <c r="K290" s="2" t="s">
        <v>48</v>
      </c>
      <c r="L290" s="3">
        <v>45251</v>
      </c>
      <c r="M290" s="2" t="s">
        <v>23</v>
      </c>
      <c r="N290" s="2">
        <v>1340680.25</v>
      </c>
      <c r="O290" s="2" t="s">
        <v>24</v>
      </c>
      <c r="P290" t="str">
        <f>TEXT(Table1[[#This Row],[Transaction Date]],"mmm")</f>
        <v>Nov</v>
      </c>
    </row>
    <row r="291" spans="1:16" ht="15.75" customHeight="1" x14ac:dyDescent="0.3">
      <c r="A291" s="2" t="s">
        <v>667</v>
      </c>
      <c r="B291" s="2">
        <v>942595</v>
      </c>
      <c r="C291" s="2" t="s">
        <v>668</v>
      </c>
      <c r="D291" s="2">
        <v>883282254049</v>
      </c>
      <c r="E291" s="2" t="s">
        <v>34</v>
      </c>
      <c r="F291" s="2" t="s">
        <v>72</v>
      </c>
      <c r="G291" s="2" t="s">
        <v>73</v>
      </c>
      <c r="H291" s="2" t="s">
        <v>30</v>
      </c>
      <c r="I291" s="2" t="s">
        <v>47</v>
      </c>
      <c r="J291" s="2">
        <v>236628.52</v>
      </c>
      <c r="K291" s="2" t="s">
        <v>48</v>
      </c>
      <c r="L291" s="3">
        <v>45541</v>
      </c>
      <c r="M291" s="2" t="s">
        <v>23</v>
      </c>
      <c r="N291" s="2">
        <v>1761005.02</v>
      </c>
      <c r="O291" s="2" t="s">
        <v>24</v>
      </c>
      <c r="P291" t="str">
        <f>TEXT(Table1[[#This Row],[Transaction Date]],"mmm")</f>
        <v>Sep</v>
      </c>
    </row>
    <row r="292" spans="1:16" ht="15.75" customHeight="1" x14ac:dyDescent="0.3">
      <c r="A292" s="2" t="s">
        <v>669</v>
      </c>
      <c r="B292" s="2">
        <v>775026</v>
      </c>
      <c r="C292" s="2" t="s">
        <v>670</v>
      </c>
      <c r="D292" s="2">
        <v>462284198068</v>
      </c>
      <c r="E292" s="2" t="s">
        <v>90</v>
      </c>
      <c r="F292" s="2" t="s">
        <v>129</v>
      </c>
      <c r="G292" s="2" t="s">
        <v>130</v>
      </c>
      <c r="H292" s="2" t="s">
        <v>30</v>
      </c>
      <c r="I292" s="2" t="s">
        <v>21</v>
      </c>
      <c r="J292" s="2">
        <v>210645.38</v>
      </c>
      <c r="K292" s="2" t="s">
        <v>38</v>
      </c>
      <c r="L292" s="3">
        <v>45514</v>
      </c>
      <c r="M292" s="2" t="s">
        <v>23</v>
      </c>
      <c r="N292" s="2">
        <v>1621110.9</v>
      </c>
      <c r="O292" s="2" t="s">
        <v>24</v>
      </c>
      <c r="P292" t="str">
        <f>TEXT(Table1[[#This Row],[Transaction Date]],"mmm")</f>
        <v>Aug</v>
      </c>
    </row>
    <row r="293" spans="1:16" ht="15.75" customHeight="1" x14ac:dyDescent="0.3">
      <c r="A293" s="2" t="s">
        <v>671</v>
      </c>
      <c r="B293" s="2">
        <v>433250</v>
      </c>
      <c r="C293" s="2" t="s">
        <v>672</v>
      </c>
      <c r="D293" s="2">
        <v>123226173461</v>
      </c>
      <c r="E293" s="2" t="s">
        <v>17</v>
      </c>
      <c r="F293" s="2" t="s">
        <v>155</v>
      </c>
      <c r="G293" s="2" t="s">
        <v>156</v>
      </c>
      <c r="H293" s="2" t="s">
        <v>30</v>
      </c>
      <c r="I293" s="2" t="s">
        <v>21</v>
      </c>
      <c r="J293" s="2">
        <v>290735.08</v>
      </c>
      <c r="K293" s="2" t="s">
        <v>97</v>
      </c>
      <c r="L293" s="3">
        <v>45344</v>
      </c>
      <c r="M293" s="2" t="s">
        <v>23</v>
      </c>
      <c r="N293" s="2">
        <v>2174884.65</v>
      </c>
      <c r="O293" s="2" t="s">
        <v>24</v>
      </c>
      <c r="P293" t="str">
        <f>TEXT(Table1[[#This Row],[Transaction Date]],"mmm")</f>
        <v>Feb</v>
      </c>
    </row>
    <row r="294" spans="1:16" ht="15.75" customHeight="1" x14ac:dyDescent="0.3">
      <c r="A294" s="2" t="s">
        <v>673</v>
      </c>
      <c r="B294" s="2">
        <v>363910</v>
      </c>
      <c r="C294" s="2" t="s">
        <v>674</v>
      </c>
      <c r="D294" s="2">
        <v>677482806646</v>
      </c>
      <c r="E294" s="2" t="s">
        <v>63</v>
      </c>
      <c r="F294" s="2" t="s">
        <v>64</v>
      </c>
      <c r="G294" s="2" t="s">
        <v>65</v>
      </c>
      <c r="H294" s="2" t="s">
        <v>69</v>
      </c>
      <c r="I294" s="2" t="s">
        <v>52</v>
      </c>
      <c r="J294" s="2">
        <v>56566.32</v>
      </c>
      <c r="K294" s="2" t="s">
        <v>97</v>
      </c>
      <c r="L294" s="3">
        <v>45340</v>
      </c>
      <c r="M294" s="2" t="s">
        <v>23</v>
      </c>
      <c r="N294" s="2">
        <v>1359620.56</v>
      </c>
      <c r="O294" s="2" t="s">
        <v>24</v>
      </c>
      <c r="P294" t="str">
        <f>TEXT(Table1[[#This Row],[Transaction Date]],"mmm")</f>
        <v>Feb</v>
      </c>
    </row>
    <row r="295" spans="1:16" ht="15.75" customHeight="1" x14ac:dyDescent="0.3">
      <c r="A295" s="2" t="s">
        <v>675</v>
      </c>
      <c r="B295" s="2">
        <v>665314</v>
      </c>
      <c r="C295" s="2" t="s">
        <v>676</v>
      </c>
      <c r="D295" s="2">
        <v>420857447807</v>
      </c>
      <c r="E295" s="2" t="s">
        <v>63</v>
      </c>
      <c r="F295" s="2" t="s">
        <v>64</v>
      </c>
      <c r="G295" s="2" t="s">
        <v>65</v>
      </c>
      <c r="H295" s="2" t="s">
        <v>69</v>
      </c>
      <c r="I295" s="2" t="s">
        <v>37</v>
      </c>
      <c r="J295" s="2">
        <v>128481.44</v>
      </c>
      <c r="K295" s="2" t="s">
        <v>22</v>
      </c>
      <c r="L295" s="3">
        <v>45210</v>
      </c>
      <c r="M295" s="2" t="s">
        <v>23</v>
      </c>
      <c r="N295" s="2">
        <v>1180805.3799999999</v>
      </c>
      <c r="O295" s="2" t="s">
        <v>24</v>
      </c>
      <c r="P295" t="str">
        <f>TEXT(Table1[[#This Row],[Transaction Date]],"mmm")</f>
        <v>Oct</v>
      </c>
    </row>
    <row r="296" spans="1:16" ht="15.75" customHeight="1" x14ac:dyDescent="0.3">
      <c r="A296" s="2" t="s">
        <v>677</v>
      </c>
      <c r="B296" s="2">
        <v>560593</v>
      </c>
      <c r="C296" s="2" t="s">
        <v>678</v>
      </c>
      <c r="D296" s="2">
        <v>242581856250</v>
      </c>
      <c r="E296" s="2" t="s">
        <v>17</v>
      </c>
      <c r="F296" s="2" t="s">
        <v>55</v>
      </c>
      <c r="G296" s="2" t="s">
        <v>56</v>
      </c>
      <c r="H296" s="2" t="s">
        <v>66</v>
      </c>
      <c r="I296" s="2" t="s">
        <v>52</v>
      </c>
      <c r="J296" s="2">
        <v>342352.78</v>
      </c>
      <c r="K296" s="2" t="s">
        <v>48</v>
      </c>
      <c r="L296" s="3">
        <v>45388</v>
      </c>
      <c r="M296" s="2" t="s">
        <v>23</v>
      </c>
      <c r="N296" s="2">
        <v>1571656.18</v>
      </c>
      <c r="O296" s="2" t="s">
        <v>24</v>
      </c>
      <c r="P296" t="str">
        <f>TEXT(Table1[[#This Row],[Transaction Date]],"mmm")</f>
        <v>Apr</v>
      </c>
    </row>
    <row r="297" spans="1:16" ht="15.75" customHeight="1" x14ac:dyDescent="0.3">
      <c r="A297" s="2" t="s">
        <v>679</v>
      </c>
      <c r="B297" s="2">
        <v>818431</v>
      </c>
      <c r="C297" s="2" t="s">
        <v>680</v>
      </c>
      <c r="D297" s="2">
        <v>134008821990</v>
      </c>
      <c r="E297" s="2" t="s">
        <v>17</v>
      </c>
      <c r="F297" s="2" t="s">
        <v>45</v>
      </c>
      <c r="G297" s="2" t="s">
        <v>46</v>
      </c>
      <c r="H297" s="2" t="s">
        <v>69</v>
      </c>
      <c r="I297" s="2" t="s">
        <v>37</v>
      </c>
      <c r="J297" s="2">
        <v>85345.93</v>
      </c>
      <c r="K297" s="2" t="s">
        <v>38</v>
      </c>
      <c r="L297" s="3">
        <v>45443</v>
      </c>
      <c r="M297" s="2" t="s">
        <v>23</v>
      </c>
      <c r="N297" s="2">
        <v>1748371.94</v>
      </c>
      <c r="O297" s="2" t="s">
        <v>178</v>
      </c>
      <c r="P297" t="str">
        <f>TEXT(Table1[[#This Row],[Transaction Date]],"mmm")</f>
        <v>May</v>
      </c>
    </row>
    <row r="298" spans="1:16" ht="15.75" customHeight="1" x14ac:dyDescent="0.3">
      <c r="A298" s="2" t="s">
        <v>681</v>
      </c>
      <c r="B298" s="2">
        <v>866770</v>
      </c>
      <c r="C298" s="2" t="s">
        <v>682</v>
      </c>
      <c r="D298" s="2">
        <v>151051425844</v>
      </c>
      <c r="E298" s="2" t="s">
        <v>63</v>
      </c>
      <c r="F298" s="2" t="s">
        <v>145</v>
      </c>
      <c r="G298" s="2" t="s">
        <v>146</v>
      </c>
      <c r="H298" s="2" t="s">
        <v>30</v>
      </c>
      <c r="I298" s="2" t="s">
        <v>47</v>
      </c>
      <c r="J298" s="2">
        <v>79519.039999999994</v>
      </c>
      <c r="K298" s="2" t="s">
        <v>31</v>
      </c>
      <c r="L298" s="3">
        <v>45753</v>
      </c>
      <c r="M298" s="2" t="s">
        <v>23</v>
      </c>
      <c r="N298" s="2">
        <v>723530.21000000008</v>
      </c>
      <c r="O298" s="2" t="s">
        <v>24</v>
      </c>
      <c r="P298" t="str">
        <f>TEXT(Table1[[#This Row],[Transaction Date]],"mmm")</f>
        <v>Apr</v>
      </c>
    </row>
    <row r="299" spans="1:16" ht="15.75" customHeight="1" x14ac:dyDescent="0.3">
      <c r="A299" s="2" t="s">
        <v>683</v>
      </c>
      <c r="B299" s="2">
        <v>372542</v>
      </c>
      <c r="C299" s="2" t="s">
        <v>684</v>
      </c>
      <c r="D299" s="2">
        <v>289947365975</v>
      </c>
      <c r="E299" s="2" t="s">
        <v>27</v>
      </c>
      <c r="F299" s="2" t="s">
        <v>28</v>
      </c>
      <c r="G299" s="2" t="s">
        <v>29</v>
      </c>
      <c r="H299" s="2" t="s">
        <v>66</v>
      </c>
      <c r="I299" s="2" t="s">
        <v>21</v>
      </c>
      <c r="J299" s="2">
        <v>158595.54999999999</v>
      </c>
      <c r="K299" s="2" t="s">
        <v>31</v>
      </c>
      <c r="L299" s="3">
        <v>45479</v>
      </c>
      <c r="M299" s="2" t="s">
        <v>23</v>
      </c>
      <c r="N299" s="2">
        <v>1973122.34</v>
      </c>
      <c r="O299" s="2" t="s">
        <v>24</v>
      </c>
      <c r="P299" t="str">
        <f>TEXT(Table1[[#This Row],[Transaction Date]],"mmm")</f>
        <v>Jul</v>
      </c>
    </row>
    <row r="300" spans="1:16" ht="15.75" customHeight="1" x14ac:dyDescent="0.3">
      <c r="A300" s="2" t="s">
        <v>685</v>
      </c>
      <c r="B300" s="2">
        <v>953804</v>
      </c>
      <c r="C300" s="2" t="s">
        <v>686</v>
      </c>
      <c r="D300" s="2">
        <v>241139363334</v>
      </c>
      <c r="E300" s="2" t="s">
        <v>27</v>
      </c>
      <c r="F300" s="2" t="s">
        <v>191</v>
      </c>
      <c r="G300" s="2" t="s">
        <v>192</v>
      </c>
      <c r="H300" s="2" t="s">
        <v>66</v>
      </c>
      <c r="I300" s="2" t="s">
        <v>52</v>
      </c>
      <c r="J300" s="2">
        <v>97285.9</v>
      </c>
      <c r="K300" s="2" t="s">
        <v>38</v>
      </c>
      <c r="L300" s="3">
        <v>45426</v>
      </c>
      <c r="M300" s="2" t="s">
        <v>23</v>
      </c>
      <c r="N300" s="2">
        <v>1096499.6100000001</v>
      </c>
      <c r="O300" s="2" t="s">
        <v>24</v>
      </c>
      <c r="P300" t="str">
        <f>TEXT(Table1[[#This Row],[Transaction Date]],"mmm")</f>
        <v>May</v>
      </c>
    </row>
    <row r="301" spans="1:16" ht="15.75" customHeight="1" x14ac:dyDescent="0.3">
      <c r="A301" s="2" t="s">
        <v>687</v>
      </c>
      <c r="B301" s="2">
        <v>916955</v>
      </c>
      <c r="C301" s="2" t="s">
        <v>688</v>
      </c>
      <c r="D301" s="2">
        <v>635029319031</v>
      </c>
      <c r="E301" s="2" t="s">
        <v>63</v>
      </c>
      <c r="F301" s="2" t="s">
        <v>64</v>
      </c>
      <c r="G301" s="2" t="s">
        <v>65</v>
      </c>
      <c r="H301" s="2" t="s">
        <v>30</v>
      </c>
      <c r="I301" s="2" t="s">
        <v>52</v>
      </c>
      <c r="J301" s="2">
        <v>126634.62</v>
      </c>
      <c r="K301" s="2" t="s">
        <v>31</v>
      </c>
      <c r="L301" s="3">
        <v>45559</v>
      </c>
      <c r="M301" s="2" t="s">
        <v>23</v>
      </c>
      <c r="N301" s="2">
        <v>1183803.32</v>
      </c>
      <c r="O301" s="2" t="s">
        <v>24</v>
      </c>
      <c r="P301" t="str">
        <f>TEXT(Table1[[#This Row],[Transaction Date]],"mmm")</f>
        <v>Sep</v>
      </c>
    </row>
    <row r="302" spans="1:16" ht="15.75" customHeight="1" x14ac:dyDescent="0.3">
      <c r="A302" s="2" t="s">
        <v>689</v>
      </c>
      <c r="B302" s="2">
        <v>977193</v>
      </c>
      <c r="C302" s="2" t="s">
        <v>690</v>
      </c>
      <c r="D302" s="2">
        <v>268490351527</v>
      </c>
      <c r="E302" s="2" t="s">
        <v>90</v>
      </c>
      <c r="F302" s="2" t="s">
        <v>104</v>
      </c>
      <c r="G302" s="2" t="s">
        <v>105</v>
      </c>
      <c r="H302" s="2" t="s">
        <v>20</v>
      </c>
      <c r="I302" s="2" t="s">
        <v>37</v>
      </c>
      <c r="J302" s="2">
        <v>21877.29</v>
      </c>
      <c r="K302" s="2" t="s">
        <v>97</v>
      </c>
      <c r="L302" s="3">
        <v>45777</v>
      </c>
      <c r="M302" s="2" t="s">
        <v>23</v>
      </c>
      <c r="N302" s="2">
        <v>1159209.6200000001</v>
      </c>
      <c r="O302" s="2" t="s">
        <v>24</v>
      </c>
      <c r="P302" t="str">
        <f>TEXT(Table1[[#This Row],[Transaction Date]],"mmm")</f>
        <v>Apr</v>
      </c>
    </row>
    <row r="303" spans="1:16" ht="15.75" customHeight="1" x14ac:dyDescent="0.3">
      <c r="A303" s="2" t="s">
        <v>691</v>
      </c>
      <c r="B303" s="2">
        <v>432558</v>
      </c>
      <c r="C303" s="2" t="s">
        <v>692</v>
      </c>
      <c r="D303" s="2">
        <v>584318320202</v>
      </c>
      <c r="E303" s="2" t="s">
        <v>90</v>
      </c>
      <c r="F303" s="2" t="s">
        <v>108</v>
      </c>
      <c r="G303" s="2" t="s">
        <v>109</v>
      </c>
      <c r="H303" s="2" t="s">
        <v>30</v>
      </c>
      <c r="I303" s="2" t="s">
        <v>21</v>
      </c>
      <c r="J303" s="2">
        <v>252929.01</v>
      </c>
      <c r="K303" s="2" t="s">
        <v>48</v>
      </c>
      <c r="L303" s="3">
        <v>45832</v>
      </c>
      <c r="M303" s="2" t="s">
        <v>23</v>
      </c>
      <c r="N303" s="2">
        <v>2184054.12</v>
      </c>
      <c r="O303" s="2" t="s">
        <v>24</v>
      </c>
      <c r="P303" t="str">
        <f>TEXT(Table1[[#This Row],[Transaction Date]],"mmm")</f>
        <v>Jun</v>
      </c>
    </row>
    <row r="304" spans="1:16" ht="15.75" customHeight="1" x14ac:dyDescent="0.3">
      <c r="A304" s="2" t="s">
        <v>693</v>
      </c>
      <c r="B304" s="2">
        <v>240903</v>
      </c>
      <c r="C304" s="2" t="s">
        <v>694</v>
      </c>
      <c r="D304" s="2">
        <v>139932947699</v>
      </c>
      <c r="E304" s="2" t="s">
        <v>63</v>
      </c>
      <c r="F304" s="2" t="s">
        <v>145</v>
      </c>
      <c r="G304" s="2" t="s">
        <v>146</v>
      </c>
      <c r="H304" s="2" t="s">
        <v>66</v>
      </c>
      <c r="I304" s="2" t="s">
        <v>37</v>
      </c>
      <c r="J304" s="2">
        <v>25588.29</v>
      </c>
      <c r="K304" s="2" t="s">
        <v>22</v>
      </c>
      <c r="L304" s="3">
        <v>45556</v>
      </c>
      <c r="M304" s="2" t="s">
        <v>23</v>
      </c>
      <c r="N304" s="2">
        <v>1359400.18</v>
      </c>
      <c r="O304" s="2" t="s">
        <v>24</v>
      </c>
      <c r="P304" t="str">
        <f>TEXT(Table1[[#This Row],[Transaction Date]],"mmm")</f>
        <v>Sep</v>
      </c>
    </row>
    <row r="305" spans="1:16" ht="15.75" customHeight="1" x14ac:dyDescent="0.3">
      <c r="A305" s="2" t="s">
        <v>695</v>
      </c>
      <c r="B305" s="2">
        <v>155800</v>
      </c>
      <c r="C305" s="2" t="s">
        <v>696</v>
      </c>
      <c r="D305" s="2">
        <v>172987559056</v>
      </c>
      <c r="E305" s="2" t="s">
        <v>27</v>
      </c>
      <c r="F305" s="2" t="s">
        <v>149</v>
      </c>
      <c r="G305" s="2" t="s">
        <v>150</v>
      </c>
      <c r="H305" s="2" t="s">
        <v>66</v>
      </c>
      <c r="I305" s="2" t="s">
        <v>52</v>
      </c>
      <c r="J305" s="2">
        <v>488550.1</v>
      </c>
      <c r="K305" s="2" t="s">
        <v>97</v>
      </c>
      <c r="L305" s="3">
        <v>45725</v>
      </c>
      <c r="M305" s="2" t="s">
        <v>23</v>
      </c>
      <c r="N305" s="2">
        <v>1782974.75</v>
      </c>
      <c r="O305" s="2" t="s">
        <v>24</v>
      </c>
      <c r="P305" t="str">
        <f>TEXT(Table1[[#This Row],[Transaction Date]],"mmm")</f>
        <v>Mar</v>
      </c>
    </row>
    <row r="306" spans="1:16" ht="15.75" customHeight="1" x14ac:dyDescent="0.3">
      <c r="A306" s="2" t="s">
        <v>697</v>
      </c>
      <c r="B306" s="2">
        <v>288231</v>
      </c>
      <c r="C306" s="2" t="s">
        <v>698</v>
      </c>
      <c r="D306" s="2">
        <v>275740728802</v>
      </c>
      <c r="E306" s="2" t="s">
        <v>27</v>
      </c>
      <c r="F306" s="2" t="s">
        <v>191</v>
      </c>
      <c r="G306" s="2" t="s">
        <v>192</v>
      </c>
      <c r="H306" s="2" t="s">
        <v>30</v>
      </c>
      <c r="I306" s="2" t="s">
        <v>21</v>
      </c>
      <c r="J306" s="2">
        <v>95620.89</v>
      </c>
      <c r="K306" s="2" t="s">
        <v>31</v>
      </c>
      <c r="L306" s="3">
        <v>45770</v>
      </c>
      <c r="M306" s="2" t="s">
        <v>23</v>
      </c>
      <c r="N306" s="2">
        <v>1185408.31</v>
      </c>
      <c r="O306" s="2" t="s">
        <v>24</v>
      </c>
      <c r="P306" t="str">
        <f>TEXT(Table1[[#This Row],[Transaction Date]],"mmm")</f>
        <v>Apr</v>
      </c>
    </row>
    <row r="307" spans="1:16" ht="15.75" customHeight="1" x14ac:dyDescent="0.3">
      <c r="A307" s="2" t="s">
        <v>699</v>
      </c>
      <c r="B307" s="2">
        <v>990243</v>
      </c>
      <c r="C307" s="2" t="s">
        <v>700</v>
      </c>
      <c r="D307" s="2">
        <v>549737898101</v>
      </c>
      <c r="E307" s="2" t="s">
        <v>90</v>
      </c>
      <c r="F307" s="2" t="s">
        <v>161</v>
      </c>
      <c r="G307" s="2" t="s">
        <v>162</v>
      </c>
      <c r="H307" s="2" t="s">
        <v>30</v>
      </c>
      <c r="I307" s="2" t="s">
        <v>47</v>
      </c>
      <c r="J307" s="2">
        <v>201991.8</v>
      </c>
      <c r="K307" s="2" t="s">
        <v>97</v>
      </c>
      <c r="L307" s="3">
        <v>45391</v>
      </c>
      <c r="M307" s="2" t="s">
        <v>23</v>
      </c>
      <c r="N307" s="2">
        <v>1661830.21</v>
      </c>
      <c r="O307" s="2" t="s">
        <v>24</v>
      </c>
      <c r="P307" t="str">
        <f>TEXT(Table1[[#This Row],[Transaction Date]],"mmm")</f>
        <v>Apr</v>
      </c>
    </row>
    <row r="308" spans="1:16" ht="15.75" customHeight="1" x14ac:dyDescent="0.3">
      <c r="A308" s="2" t="s">
        <v>701</v>
      </c>
      <c r="B308" s="2">
        <v>311363</v>
      </c>
      <c r="C308" s="2" t="s">
        <v>702</v>
      </c>
      <c r="D308" s="2">
        <v>985206008802</v>
      </c>
      <c r="E308" s="2" t="s">
        <v>34</v>
      </c>
      <c r="F308" s="2" t="s">
        <v>41</v>
      </c>
      <c r="G308" s="2" t="s">
        <v>42</v>
      </c>
      <c r="H308" s="2" t="s">
        <v>66</v>
      </c>
      <c r="I308" s="2" t="s">
        <v>21</v>
      </c>
      <c r="J308" s="2">
        <v>460250.13</v>
      </c>
      <c r="K308" s="2" t="s">
        <v>97</v>
      </c>
      <c r="L308" s="3">
        <v>45371</v>
      </c>
      <c r="M308" s="2" t="s">
        <v>23</v>
      </c>
      <c r="N308" s="2">
        <v>1506146.94</v>
      </c>
      <c r="O308" s="2" t="s">
        <v>178</v>
      </c>
      <c r="P308" t="str">
        <f>TEXT(Table1[[#This Row],[Transaction Date]],"mmm")</f>
        <v>Mar</v>
      </c>
    </row>
    <row r="309" spans="1:16" ht="15.75" customHeight="1" x14ac:dyDescent="0.3">
      <c r="A309" s="2" t="s">
        <v>703</v>
      </c>
      <c r="B309" s="2">
        <v>462822</v>
      </c>
      <c r="C309" s="2" t="s">
        <v>704</v>
      </c>
      <c r="D309" s="2">
        <v>119278894333</v>
      </c>
      <c r="E309" s="2" t="s">
        <v>17</v>
      </c>
      <c r="F309" s="2" t="s">
        <v>45</v>
      </c>
      <c r="G309" s="2" t="s">
        <v>46</v>
      </c>
      <c r="H309" s="2" t="s">
        <v>30</v>
      </c>
      <c r="I309" s="2" t="s">
        <v>52</v>
      </c>
      <c r="J309" s="2">
        <v>13160.06</v>
      </c>
      <c r="K309" s="2" t="s">
        <v>22</v>
      </c>
      <c r="L309" s="3">
        <v>45709</v>
      </c>
      <c r="M309" s="2" t="s">
        <v>23</v>
      </c>
      <c r="N309" s="2">
        <v>1579591.09</v>
      </c>
      <c r="O309" s="2" t="s">
        <v>24</v>
      </c>
      <c r="P309" t="str">
        <f>TEXT(Table1[[#This Row],[Transaction Date]],"mmm")</f>
        <v>Feb</v>
      </c>
    </row>
    <row r="310" spans="1:16" ht="15.75" customHeight="1" x14ac:dyDescent="0.3">
      <c r="A310" s="2" t="s">
        <v>705</v>
      </c>
      <c r="B310" s="2">
        <v>712345</v>
      </c>
      <c r="C310" s="2" t="s">
        <v>706</v>
      </c>
      <c r="D310" s="2">
        <v>279271808282</v>
      </c>
      <c r="E310" s="2" t="s">
        <v>34</v>
      </c>
      <c r="F310" s="2" t="s">
        <v>35</v>
      </c>
      <c r="G310" s="2" t="s">
        <v>36</v>
      </c>
      <c r="H310" s="2" t="s">
        <v>20</v>
      </c>
      <c r="I310" s="2" t="s">
        <v>21</v>
      </c>
      <c r="J310" s="2">
        <v>525074.59</v>
      </c>
      <c r="K310" s="2" t="s">
        <v>22</v>
      </c>
      <c r="L310" s="3">
        <v>45315</v>
      </c>
      <c r="M310" s="2" t="s">
        <v>23</v>
      </c>
      <c r="N310" s="2">
        <v>938423.33</v>
      </c>
      <c r="O310" s="2" t="s">
        <v>24</v>
      </c>
      <c r="P310" t="str">
        <f>TEXT(Table1[[#This Row],[Transaction Date]],"mmm")</f>
        <v>Jan</v>
      </c>
    </row>
    <row r="311" spans="1:16" ht="15.75" customHeight="1" x14ac:dyDescent="0.3">
      <c r="A311" s="2" t="s">
        <v>707</v>
      </c>
      <c r="B311" s="2">
        <v>113883</v>
      </c>
      <c r="C311" s="2" t="s">
        <v>708</v>
      </c>
      <c r="D311" s="2">
        <v>823851213066</v>
      </c>
      <c r="E311" s="2" t="s">
        <v>34</v>
      </c>
      <c r="F311" s="2" t="s">
        <v>35</v>
      </c>
      <c r="G311" s="2" t="s">
        <v>36</v>
      </c>
      <c r="H311" s="2" t="s">
        <v>69</v>
      </c>
      <c r="I311" s="2" t="s">
        <v>47</v>
      </c>
      <c r="J311" s="2">
        <v>124890</v>
      </c>
      <c r="K311" s="2" t="s">
        <v>48</v>
      </c>
      <c r="L311" s="3">
        <v>45477</v>
      </c>
      <c r="M311" s="2" t="s">
        <v>23</v>
      </c>
      <c r="N311" s="2">
        <v>431745.3</v>
      </c>
      <c r="O311" s="2" t="s">
        <v>24</v>
      </c>
      <c r="P311" t="str">
        <f>TEXT(Table1[[#This Row],[Transaction Date]],"mmm")</f>
        <v>Jul</v>
      </c>
    </row>
    <row r="312" spans="1:16" ht="15.75" customHeight="1" x14ac:dyDescent="0.3">
      <c r="A312" s="2" t="s">
        <v>709</v>
      </c>
      <c r="B312" s="2">
        <v>339747</v>
      </c>
      <c r="C312" s="2" t="s">
        <v>710</v>
      </c>
      <c r="D312" s="2">
        <v>702582639068</v>
      </c>
      <c r="E312" s="2" t="s">
        <v>63</v>
      </c>
      <c r="F312" s="2" t="s">
        <v>176</v>
      </c>
      <c r="G312" s="2" t="s">
        <v>177</v>
      </c>
      <c r="H312" s="2" t="s">
        <v>20</v>
      </c>
      <c r="I312" s="2" t="s">
        <v>52</v>
      </c>
      <c r="J312" s="2">
        <v>96128.29</v>
      </c>
      <c r="K312" s="2" t="s">
        <v>97</v>
      </c>
      <c r="L312" s="3">
        <v>45378</v>
      </c>
      <c r="M312" s="2" t="s">
        <v>23</v>
      </c>
      <c r="N312" s="2">
        <v>311631.5</v>
      </c>
      <c r="O312" s="2" t="s">
        <v>24</v>
      </c>
      <c r="P312" t="str">
        <f>TEXT(Table1[[#This Row],[Transaction Date]],"mmm")</f>
        <v>Mar</v>
      </c>
    </row>
    <row r="313" spans="1:16" ht="15.75" customHeight="1" x14ac:dyDescent="0.3">
      <c r="A313" s="2" t="s">
        <v>711</v>
      </c>
      <c r="B313" s="2">
        <v>124171</v>
      </c>
      <c r="C313" s="2" t="s">
        <v>712</v>
      </c>
      <c r="D313" s="2">
        <v>103490076984</v>
      </c>
      <c r="E313" s="2" t="s">
        <v>90</v>
      </c>
      <c r="F313" s="2" t="s">
        <v>104</v>
      </c>
      <c r="G313" s="2" t="s">
        <v>105</v>
      </c>
      <c r="H313" s="2" t="s">
        <v>69</v>
      </c>
      <c r="I313" s="2" t="s">
        <v>47</v>
      </c>
      <c r="J313" s="2">
        <v>78134.240000000005</v>
      </c>
      <c r="K313" s="2" t="s">
        <v>22</v>
      </c>
      <c r="L313" s="3">
        <v>45595</v>
      </c>
      <c r="M313" s="2" t="s">
        <v>23</v>
      </c>
      <c r="N313" s="2">
        <v>1325069.24</v>
      </c>
      <c r="O313" s="2" t="s">
        <v>24</v>
      </c>
      <c r="P313" t="str">
        <f>TEXT(Table1[[#This Row],[Transaction Date]],"mmm")</f>
        <v>Oct</v>
      </c>
    </row>
    <row r="314" spans="1:16" ht="15.75" customHeight="1" x14ac:dyDescent="0.3">
      <c r="A314" s="2" t="s">
        <v>713</v>
      </c>
      <c r="B314" s="2">
        <v>805755</v>
      </c>
      <c r="C314" s="2" t="s">
        <v>714</v>
      </c>
      <c r="D314" s="2">
        <v>490291230378</v>
      </c>
      <c r="E314" s="2" t="s">
        <v>90</v>
      </c>
      <c r="F314" s="2" t="s">
        <v>161</v>
      </c>
      <c r="G314" s="2" t="s">
        <v>162</v>
      </c>
      <c r="H314" s="2" t="s">
        <v>30</v>
      </c>
      <c r="I314" s="2" t="s">
        <v>21</v>
      </c>
      <c r="J314" s="2">
        <v>112622.64</v>
      </c>
      <c r="K314" s="2" t="s">
        <v>97</v>
      </c>
      <c r="L314" s="3">
        <v>45332</v>
      </c>
      <c r="M314" s="2" t="s">
        <v>49</v>
      </c>
      <c r="N314" s="2">
        <v>1684299.3</v>
      </c>
      <c r="O314" s="2" t="s">
        <v>24</v>
      </c>
      <c r="P314" t="str">
        <f>TEXT(Table1[[#This Row],[Transaction Date]],"mmm")</f>
        <v>Feb</v>
      </c>
    </row>
    <row r="315" spans="1:16" ht="15.75" customHeight="1" x14ac:dyDescent="0.3">
      <c r="A315" s="2" t="s">
        <v>715</v>
      </c>
      <c r="B315" s="2">
        <v>596468</v>
      </c>
      <c r="C315" s="2" t="s">
        <v>716</v>
      </c>
      <c r="D315" s="2">
        <v>772077329179</v>
      </c>
      <c r="E315" s="2" t="s">
        <v>63</v>
      </c>
      <c r="F315" s="2" t="s">
        <v>82</v>
      </c>
      <c r="G315" s="2" t="s">
        <v>83</v>
      </c>
      <c r="H315" s="2" t="s">
        <v>30</v>
      </c>
      <c r="I315" s="2" t="s">
        <v>52</v>
      </c>
      <c r="J315" s="2">
        <v>406595</v>
      </c>
      <c r="K315" s="2" t="s">
        <v>48</v>
      </c>
      <c r="L315" s="3">
        <v>45576</v>
      </c>
      <c r="M315" s="2" t="s">
        <v>23</v>
      </c>
      <c r="N315" s="2">
        <v>585059.64</v>
      </c>
      <c r="O315" s="2" t="s">
        <v>24</v>
      </c>
      <c r="P315" t="str">
        <f>TEXT(Table1[[#This Row],[Transaction Date]],"mmm")</f>
        <v>Oct</v>
      </c>
    </row>
    <row r="316" spans="1:16" ht="15.75" customHeight="1" x14ac:dyDescent="0.3">
      <c r="A316" s="2" t="s">
        <v>717</v>
      </c>
      <c r="B316" s="2">
        <v>111146</v>
      </c>
      <c r="C316" s="2" t="s">
        <v>718</v>
      </c>
      <c r="D316" s="2">
        <v>555859409829</v>
      </c>
      <c r="E316" s="2" t="s">
        <v>90</v>
      </c>
      <c r="F316" s="2" t="s">
        <v>129</v>
      </c>
      <c r="G316" s="2" t="s">
        <v>130</v>
      </c>
      <c r="H316" s="2" t="s">
        <v>66</v>
      </c>
      <c r="I316" s="2" t="s">
        <v>37</v>
      </c>
      <c r="J316" s="2">
        <v>67907.710000000006</v>
      </c>
      <c r="K316" s="2" t="s">
        <v>22</v>
      </c>
      <c r="L316" s="3">
        <v>45829</v>
      </c>
      <c r="M316" s="2" t="s">
        <v>23</v>
      </c>
      <c r="N316" s="2">
        <v>400650.52</v>
      </c>
      <c r="O316" s="2" t="s">
        <v>24</v>
      </c>
      <c r="P316" t="str">
        <f>TEXT(Table1[[#This Row],[Transaction Date]],"mmm")</f>
        <v>Jun</v>
      </c>
    </row>
    <row r="317" spans="1:16" ht="15.75" customHeight="1" x14ac:dyDescent="0.3">
      <c r="A317" s="2" t="s">
        <v>719</v>
      </c>
      <c r="B317" s="2">
        <v>479530</v>
      </c>
      <c r="C317" s="2" t="s">
        <v>720</v>
      </c>
      <c r="D317" s="2">
        <v>724249667582</v>
      </c>
      <c r="E317" s="2" t="s">
        <v>90</v>
      </c>
      <c r="F317" s="2" t="s">
        <v>104</v>
      </c>
      <c r="G317" s="2" t="s">
        <v>105</v>
      </c>
      <c r="H317" s="2" t="s">
        <v>66</v>
      </c>
      <c r="I317" s="2" t="s">
        <v>37</v>
      </c>
      <c r="J317" s="2">
        <v>7625.81</v>
      </c>
      <c r="K317" s="2" t="s">
        <v>31</v>
      </c>
      <c r="L317" s="3">
        <v>45374</v>
      </c>
      <c r="M317" s="2" t="s">
        <v>23</v>
      </c>
      <c r="N317" s="2">
        <v>788581.85</v>
      </c>
      <c r="O317" s="2" t="s">
        <v>24</v>
      </c>
      <c r="P317" t="str">
        <f>TEXT(Table1[[#This Row],[Transaction Date]],"mmm")</f>
        <v>Mar</v>
      </c>
    </row>
    <row r="318" spans="1:16" ht="15.75" customHeight="1" x14ac:dyDescent="0.3">
      <c r="A318" s="2" t="s">
        <v>721</v>
      </c>
      <c r="B318" s="2">
        <v>937519</v>
      </c>
      <c r="C318" s="2" t="s">
        <v>722</v>
      </c>
      <c r="D318" s="2">
        <v>902094706216</v>
      </c>
      <c r="E318" s="2" t="s">
        <v>63</v>
      </c>
      <c r="F318" s="2" t="s">
        <v>165</v>
      </c>
      <c r="G318" s="2" t="s">
        <v>166</v>
      </c>
      <c r="H318" s="2" t="s">
        <v>30</v>
      </c>
      <c r="I318" s="2" t="s">
        <v>21</v>
      </c>
      <c r="J318" s="2">
        <v>24749.02</v>
      </c>
      <c r="K318" s="2" t="s">
        <v>38</v>
      </c>
      <c r="L318" s="3">
        <v>45708</v>
      </c>
      <c r="M318" s="2" t="s">
        <v>23</v>
      </c>
      <c r="N318" s="2">
        <v>239240.66</v>
      </c>
      <c r="O318" s="2" t="s">
        <v>24</v>
      </c>
      <c r="P318" t="str">
        <f>TEXT(Table1[[#This Row],[Transaction Date]],"mmm")</f>
        <v>Feb</v>
      </c>
    </row>
    <row r="319" spans="1:16" ht="15.75" customHeight="1" x14ac:dyDescent="0.3">
      <c r="A319" s="2" t="s">
        <v>723</v>
      </c>
      <c r="B319" s="2">
        <v>557246</v>
      </c>
      <c r="C319" s="2" t="s">
        <v>724</v>
      </c>
      <c r="D319" s="2">
        <v>565539620553</v>
      </c>
      <c r="E319" s="2" t="s">
        <v>17</v>
      </c>
      <c r="F319" s="2" t="s">
        <v>18</v>
      </c>
      <c r="G319" s="2" t="s">
        <v>19</v>
      </c>
      <c r="H319" s="2" t="s">
        <v>69</v>
      </c>
      <c r="I319" s="2" t="s">
        <v>37</v>
      </c>
      <c r="J319" s="2">
        <v>46462.29</v>
      </c>
      <c r="K319" s="2" t="s">
        <v>97</v>
      </c>
      <c r="L319" s="3">
        <v>45608</v>
      </c>
      <c r="M319" s="2" t="s">
        <v>23</v>
      </c>
      <c r="N319" s="2">
        <v>1272270</v>
      </c>
      <c r="O319" s="2" t="s">
        <v>24</v>
      </c>
      <c r="P319" t="str">
        <f>TEXT(Table1[[#This Row],[Transaction Date]],"mmm")</f>
        <v>Nov</v>
      </c>
    </row>
    <row r="320" spans="1:16" ht="15.75" customHeight="1" x14ac:dyDescent="0.3">
      <c r="A320" s="2" t="s">
        <v>725</v>
      </c>
      <c r="B320" s="2">
        <v>959323</v>
      </c>
      <c r="C320" s="2" t="s">
        <v>726</v>
      </c>
      <c r="D320" s="2">
        <v>432335197720</v>
      </c>
      <c r="E320" s="2" t="s">
        <v>27</v>
      </c>
      <c r="F320" s="2" t="s">
        <v>149</v>
      </c>
      <c r="G320" s="2" t="s">
        <v>150</v>
      </c>
      <c r="H320" s="2" t="s">
        <v>20</v>
      </c>
      <c r="I320" s="2" t="s">
        <v>52</v>
      </c>
      <c r="J320" s="2">
        <v>306121.71000000002</v>
      </c>
      <c r="K320" s="2" t="s">
        <v>48</v>
      </c>
      <c r="L320" s="3">
        <v>45338</v>
      </c>
      <c r="M320" s="2" t="s">
        <v>23</v>
      </c>
      <c r="N320" s="2">
        <v>648457.01</v>
      </c>
      <c r="O320" s="2" t="s">
        <v>24</v>
      </c>
      <c r="P320" t="str">
        <f>TEXT(Table1[[#This Row],[Transaction Date]],"mmm")</f>
        <v>Feb</v>
      </c>
    </row>
    <row r="321" spans="1:16" ht="15.75" customHeight="1" x14ac:dyDescent="0.3">
      <c r="A321" s="2" t="s">
        <v>727</v>
      </c>
      <c r="B321" s="2">
        <v>931835</v>
      </c>
      <c r="C321" s="2" t="s">
        <v>728</v>
      </c>
      <c r="D321" s="2">
        <v>130206487294</v>
      </c>
      <c r="E321" s="2" t="s">
        <v>34</v>
      </c>
      <c r="F321" s="2" t="s">
        <v>72</v>
      </c>
      <c r="G321" s="2" t="s">
        <v>73</v>
      </c>
      <c r="H321" s="2" t="s">
        <v>66</v>
      </c>
      <c r="I321" s="2" t="s">
        <v>37</v>
      </c>
      <c r="J321" s="2">
        <v>26846.38</v>
      </c>
      <c r="K321" s="2" t="s">
        <v>31</v>
      </c>
      <c r="L321" s="3">
        <v>45716</v>
      </c>
      <c r="M321" s="2" t="s">
        <v>23</v>
      </c>
      <c r="N321" s="2">
        <v>278385.8</v>
      </c>
      <c r="O321" s="2" t="s">
        <v>24</v>
      </c>
      <c r="P321" t="str">
        <f>TEXT(Table1[[#This Row],[Transaction Date]],"mmm")</f>
        <v>Feb</v>
      </c>
    </row>
    <row r="322" spans="1:16" ht="15.75" customHeight="1" x14ac:dyDescent="0.3">
      <c r="A322" s="2" t="s">
        <v>729</v>
      </c>
      <c r="B322" s="2">
        <v>181715</v>
      </c>
      <c r="C322" s="2" t="s">
        <v>730</v>
      </c>
      <c r="D322" s="2">
        <v>924632714359</v>
      </c>
      <c r="E322" s="2" t="s">
        <v>17</v>
      </c>
      <c r="F322" s="2" t="s">
        <v>18</v>
      </c>
      <c r="G322" s="2" t="s">
        <v>19</v>
      </c>
      <c r="H322" s="2" t="s">
        <v>30</v>
      </c>
      <c r="I322" s="2" t="s">
        <v>21</v>
      </c>
      <c r="J322" s="2">
        <v>181640.7</v>
      </c>
      <c r="K322" s="2" t="s">
        <v>97</v>
      </c>
      <c r="L322" s="3">
        <v>45537</v>
      </c>
      <c r="M322" s="2" t="s">
        <v>23</v>
      </c>
      <c r="N322" s="2">
        <v>458407.24</v>
      </c>
      <c r="O322" s="2" t="s">
        <v>24</v>
      </c>
      <c r="P322" t="str">
        <f>TEXT(Table1[[#This Row],[Transaction Date]],"mmm")</f>
        <v>Sep</v>
      </c>
    </row>
    <row r="323" spans="1:16" ht="15.75" customHeight="1" x14ac:dyDescent="0.3">
      <c r="A323" s="2" t="s">
        <v>731</v>
      </c>
      <c r="B323" s="2">
        <v>300670</v>
      </c>
      <c r="C323" s="2" t="s">
        <v>732</v>
      </c>
      <c r="D323" s="2">
        <v>477182324308</v>
      </c>
      <c r="E323" s="2" t="s">
        <v>90</v>
      </c>
      <c r="F323" s="2" t="s">
        <v>104</v>
      </c>
      <c r="G323" s="2" t="s">
        <v>105</v>
      </c>
      <c r="H323" s="2" t="s">
        <v>69</v>
      </c>
      <c r="I323" s="2" t="s">
        <v>52</v>
      </c>
      <c r="J323" s="2">
        <v>17763.02</v>
      </c>
      <c r="K323" s="2" t="s">
        <v>97</v>
      </c>
      <c r="L323" s="3">
        <v>45413</v>
      </c>
      <c r="M323" s="2" t="s">
        <v>23</v>
      </c>
      <c r="N323" s="2">
        <v>841969.9</v>
      </c>
      <c r="O323" s="2" t="s">
        <v>24</v>
      </c>
      <c r="P323" t="str">
        <f>TEXT(Table1[[#This Row],[Transaction Date]],"mmm")</f>
        <v>May</v>
      </c>
    </row>
    <row r="324" spans="1:16" ht="15.75" customHeight="1" x14ac:dyDescent="0.3">
      <c r="A324" s="2" t="s">
        <v>733</v>
      </c>
      <c r="B324" s="2">
        <v>405161</v>
      </c>
      <c r="C324" s="2" t="s">
        <v>734</v>
      </c>
      <c r="D324" s="2">
        <v>476384442388</v>
      </c>
      <c r="E324" s="2" t="s">
        <v>90</v>
      </c>
      <c r="F324" s="2" t="s">
        <v>108</v>
      </c>
      <c r="G324" s="2" t="s">
        <v>109</v>
      </c>
      <c r="H324" s="2" t="s">
        <v>66</v>
      </c>
      <c r="I324" s="2" t="s">
        <v>21</v>
      </c>
      <c r="J324" s="2">
        <v>367978.86</v>
      </c>
      <c r="K324" s="2" t="s">
        <v>22</v>
      </c>
      <c r="L324" s="3">
        <v>45248</v>
      </c>
      <c r="M324" s="2" t="s">
        <v>23</v>
      </c>
      <c r="N324" s="2">
        <v>840788.77</v>
      </c>
      <c r="O324" s="2" t="s">
        <v>24</v>
      </c>
      <c r="P324" t="str">
        <f>TEXT(Table1[[#This Row],[Transaction Date]],"mmm")</f>
        <v>Nov</v>
      </c>
    </row>
    <row r="325" spans="1:16" ht="15.75" customHeight="1" x14ac:dyDescent="0.3">
      <c r="A325" s="2" t="s">
        <v>735</v>
      </c>
      <c r="B325" s="2">
        <v>981665</v>
      </c>
      <c r="C325" s="2" t="s">
        <v>736</v>
      </c>
      <c r="D325" s="2">
        <v>126907120490</v>
      </c>
      <c r="E325" s="2" t="s">
        <v>34</v>
      </c>
      <c r="F325" s="2" t="s">
        <v>135</v>
      </c>
      <c r="G325" s="2" t="s">
        <v>136</v>
      </c>
      <c r="H325" s="2" t="s">
        <v>30</v>
      </c>
      <c r="I325" s="2" t="s">
        <v>21</v>
      </c>
      <c r="J325" s="2">
        <v>212325.1</v>
      </c>
      <c r="K325" s="2" t="s">
        <v>22</v>
      </c>
      <c r="L325" s="3">
        <v>45761</v>
      </c>
      <c r="M325" s="2" t="s">
        <v>23</v>
      </c>
      <c r="N325" s="2">
        <v>1118140.79</v>
      </c>
      <c r="O325" s="2" t="s">
        <v>24</v>
      </c>
      <c r="P325" t="str">
        <f>TEXT(Table1[[#This Row],[Transaction Date]],"mmm")</f>
        <v>Apr</v>
      </c>
    </row>
    <row r="326" spans="1:16" ht="15.75" customHeight="1" x14ac:dyDescent="0.3">
      <c r="A326" s="2" t="s">
        <v>737</v>
      </c>
      <c r="B326" s="2">
        <v>355753</v>
      </c>
      <c r="C326" s="2" t="s">
        <v>738</v>
      </c>
      <c r="D326" s="2">
        <v>882143942859</v>
      </c>
      <c r="E326" s="2" t="s">
        <v>17</v>
      </c>
      <c r="F326" s="2" t="s">
        <v>86</v>
      </c>
      <c r="G326" s="2" t="s">
        <v>87</v>
      </c>
      <c r="H326" s="2" t="s">
        <v>20</v>
      </c>
      <c r="I326" s="2" t="s">
        <v>37</v>
      </c>
      <c r="J326" s="2">
        <v>47698.28</v>
      </c>
      <c r="K326" s="2" t="s">
        <v>31</v>
      </c>
      <c r="L326" s="3">
        <v>45434</v>
      </c>
      <c r="M326" s="2" t="s">
        <v>23</v>
      </c>
      <c r="N326" s="2">
        <v>642724.73</v>
      </c>
      <c r="O326" s="2" t="s">
        <v>24</v>
      </c>
      <c r="P326" t="str">
        <f>TEXT(Table1[[#This Row],[Transaction Date]],"mmm")</f>
        <v>May</v>
      </c>
    </row>
    <row r="327" spans="1:16" ht="15.75" customHeight="1" x14ac:dyDescent="0.3">
      <c r="A327" s="2" t="s">
        <v>739</v>
      </c>
      <c r="B327" s="2">
        <v>159266</v>
      </c>
      <c r="C327" s="2" t="s">
        <v>740</v>
      </c>
      <c r="D327" s="2">
        <v>133268629842</v>
      </c>
      <c r="E327" s="2" t="s">
        <v>27</v>
      </c>
      <c r="F327" s="2" t="s">
        <v>78</v>
      </c>
      <c r="G327" s="2" t="s">
        <v>79</v>
      </c>
      <c r="H327" s="2" t="s">
        <v>69</v>
      </c>
      <c r="I327" s="2" t="s">
        <v>47</v>
      </c>
      <c r="J327" s="2">
        <v>163974.37</v>
      </c>
      <c r="K327" s="2" t="s">
        <v>22</v>
      </c>
      <c r="L327" s="3">
        <v>45618</v>
      </c>
      <c r="M327" s="2" t="s">
        <v>23</v>
      </c>
      <c r="N327" s="2">
        <v>2009108.15</v>
      </c>
      <c r="O327" s="2" t="s">
        <v>24</v>
      </c>
      <c r="P327" t="str">
        <f>TEXT(Table1[[#This Row],[Transaction Date]],"mmm")</f>
        <v>Nov</v>
      </c>
    </row>
    <row r="328" spans="1:16" ht="15.75" customHeight="1" x14ac:dyDescent="0.3">
      <c r="A328" s="2" t="s">
        <v>741</v>
      </c>
      <c r="B328" s="2">
        <v>879301</v>
      </c>
      <c r="C328" s="2" t="s">
        <v>742</v>
      </c>
      <c r="D328" s="2">
        <v>433805514591</v>
      </c>
      <c r="E328" s="2" t="s">
        <v>34</v>
      </c>
      <c r="F328" s="2" t="s">
        <v>41</v>
      </c>
      <c r="G328" s="2" t="s">
        <v>42</v>
      </c>
      <c r="H328" s="2" t="s">
        <v>66</v>
      </c>
      <c r="I328" s="2" t="s">
        <v>21</v>
      </c>
      <c r="J328" s="2">
        <v>189190.47</v>
      </c>
      <c r="K328" s="2" t="s">
        <v>38</v>
      </c>
      <c r="L328" s="3">
        <v>45599</v>
      </c>
      <c r="M328" s="2" t="s">
        <v>23</v>
      </c>
      <c r="N328" s="2">
        <v>1036192.27</v>
      </c>
      <c r="O328" s="2" t="s">
        <v>24</v>
      </c>
      <c r="P328" t="str">
        <f>TEXT(Table1[[#This Row],[Transaction Date]],"mmm")</f>
        <v>Nov</v>
      </c>
    </row>
    <row r="329" spans="1:16" ht="15.75" customHeight="1" x14ac:dyDescent="0.3">
      <c r="A329" s="2" t="s">
        <v>743</v>
      </c>
      <c r="B329" s="2">
        <v>116476</v>
      </c>
      <c r="C329" s="2" t="s">
        <v>744</v>
      </c>
      <c r="D329" s="2">
        <v>406498403510</v>
      </c>
      <c r="E329" s="2" t="s">
        <v>90</v>
      </c>
      <c r="F329" s="2" t="s">
        <v>161</v>
      </c>
      <c r="G329" s="2" t="s">
        <v>162</v>
      </c>
      <c r="H329" s="2" t="s">
        <v>30</v>
      </c>
      <c r="I329" s="2" t="s">
        <v>52</v>
      </c>
      <c r="J329" s="2">
        <v>129890.57</v>
      </c>
      <c r="K329" s="2" t="s">
        <v>22</v>
      </c>
      <c r="L329" s="3">
        <v>45598</v>
      </c>
      <c r="M329" s="2" t="s">
        <v>23</v>
      </c>
      <c r="N329" s="2">
        <v>1438950.54</v>
      </c>
      <c r="O329" s="2" t="s">
        <v>24</v>
      </c>
      <c r="P329" t="str">
        <f>TEXT(Table1[[#This Row],[Transaction Date]],"mmm")</f>
        <v>Nov</v>
      </c>
    </row>
    <row r="330" spans="1:16" ht="15.75" customHeight="1" x14ac:dyDescent="0.3">
      <c r="A330" s="2" t="s">
        <v>745</v>
      </c>
      <c r="B330" s="2">
        <v>981915</v>
      </c>
      <c r="C330" s="2" t="s">
        <v>746</v>
      </c>
      <c r="D330" s="2">
        <v>577554548613</v>
      </c>
      <c r="E330" s="2" t="s">
        <v>27</v>
      </c>
      <c r="F330" s="2" t="s">
        <v>149</v>
      </c>
      <c r="G330" s="2" t="s">
        <v>150</v>
      </c>
      <c r="H330" s="2" t="s">
        <v>30</v>
      </c>
      <c r="I330" s="2" t="s">
        <v>47</v>
      </c>
      <c r="J330" s="2">
        <v>254514.65</v>
      </c>
      <c r="K330" s="2" t="s">
        <v>48</v>
      </c>
      <c r="L330" s="3">
        <v>45153</v>
      </c>
      <c r="M330" s="2" t="s">
        <v>23</v>
      </c>
      <c r="N330" s="2">
        <v>318461.15000000002</v>
      </c>
      <c r="O330" s="2" t="s">
        <v>24</v>
      </c>
      <c r="P330" t="str">
        <f>TEXT(Table1[[#This Row],[Transaction Date]],"mmm")</f>
        <v>Aug</v>
      </c>
    </row>
    <row r="331" spans="1:16" ht="15.75" customHeight="1" x14ac:dyDescent="0.3">
      <c r="A331" s="2" t="s">
        <v>747</v>
      </c>
      <c r="B331" s="2">
        <v>569629</v>
      </c>
      <c r="C331" s="2" t="s">
        <v>748</v>
      </c>
      <c r="D331" s="2">
        <v>884210811039</v>
      </c>
      <c r="E331" s="2" t="s">
        <v>63</v>
      </c>
      <c r="F331" s="2" t="s">
        <v>165</v>
      </c>
      <c r="G331" s="2" t="s">
        <v>166</v>
      </c>
      <c r="H331" s="2" t="s">
        <v>30</v>
      </c>
      <c r="I331" s="2" t="s">
        <v>37</v>
      </c>
      <c r="J331" s="2">
        <v>95419.02</v>
      </c>
      <c r="K331" s="2" t="s">
        <v>97</v>
      </c>
      <c r="L331" s="3">
        <v>45185</v>
      </c>
      <c r="M331" s="2" t="s">
        <v>23</v>
      </c>
      <c r="N331" s="2">
        <v>167769.03</v>
      </c>
      <c r="O331" s="2" t="s">
        <v>24</v>
      </c>
      <c r="P331" t="str">
        <f>TEXT(Table1[[#This Row],[Transaction Date]],"mmm")</f>
        <v>Sep</v>
      </c>
    </row>
    <row r="332" spans="1:16" ht="15.75" customHeight="1" x14ac:dyDescent="0.3">
      <c r="A332" s="2" t="s">
        <v>749</v>
      </c>
      <c r="B332" s="2">
        <v>143218</v>
      </c>
      <c r="C332" s="2" t="s">
        <v>750</v>
      </c>
      <c r="D332" s="2">
        <v>428200261572</v>
      </c>
      <c r="E332" s="2" t="s">
        <v>34</v>
      </c>
      <c r="F332" s="2" t="s">
        <v>135</v>
      </c>
      <c r="G332" s="2" t="s">
        <v>136</v>
      </c>
      <c r="H332" s="2" t="s">
        <v>66</v>
      </c>
      <c r="I332" s="2" t="s">
        <v>37</v>
      </c>
      <c r="J332" s="2">
        <v>58414.13</v>
      </c>
      <c r="K332" s="2" t="s">
        <v>97</v>
      </c>
      <c r="L332" s="3">
        <v>45835</v>
      </c>
      <c r="M332" s="2" t="s">
        <v>23</v>
      </c>
      <c r="N332" s="2">
        <v>918862.34</v>
      </c>
      <c r="O332" s="2" t="s">
        <v>24</v>
      </c>
      <c r="P332" t="str">
        <f>TEXT(Table1[[#This Row],[Transaction Date]],"mmm")</f>
        <v>Jun</v>
      </c>
    </row>
    <row r="333" spans="1:16" ht="15.75" customHeight="1" x14ac:dyDescent="0.3">
      <c r="A333" s="2" t="s">
        <v>751</v>
      </c>
      <c r="B333" s="2">
        <v>985381</v>
      </c>
      <c r="C333" s="2" t="s">
        <v>752</v>
      </c>
      <c r="D333" s="2">
        <v>113639393827</v>
      </c>
      <c r="E333" s="2" t="s">
        <v>90</v>
      </c>
      <c r="F333" s="2" t="s">
        <v>108</v>
      </c>
      <c r="G333" s="2" t="s">
        <v>109</v>
      </c>
      <c r="H333" s="2" t="s">
        <v>30</v>
      </c>
      <c r="I333" s="2" t="s">
        <v>52</v>
      </c>
      <c r="J333" s="2">
        <v>469814.95</v>
      </c>
      <c r="K333" s="2" t="s">
        <v>48</v>
      </c>
      <c r="L333" s="3">
        <v>45131</v>
      </c>
      <c r="M333" s="2" t="s">
        <v>49</v>
      </c>
      <c r="N333" s="2">
        <v>1904176.83</v>
      </c>
      <c r="O333" s="2" t="s">
        <v>24</v>
      </c>
      <c r="P333" t="str">
        <f>TEXT(Table1[[#This Row],[Transaction Date]],"mmm")</f>
        <v>Jul</v>
      </c>
    </row>
    <row r="334" spans="1:16" ht="15.75" customHeight="1" x14ac:dyDescent="0.3">
      <c r="A334" s="2" t="s">
        <v>753</v>
      </c>
      <c r="B334" s="2">
        <v>894517</v>
      </c>
      <c r="C334" s="2" t="s">
        <v>754</v>
      </c>
      <c r="D334" s="2">
        <v>633651930756</v>
      </c>
      <c r="E334" s="2" t="s">
        <v>27</v>
      </c>
      <c r="F334" s="2" t="s">
        <v>215</v>
      </c>
      <c r="G334" s="2" t="s">
        <v>216</v>
      </c>
      <c r="H334" s="2" t="s">
        <v>20</v>
      </c>
      <c r="I334" s="2" t="s">
        <v>52</v>
      </c>
      <c r="J334" s="2">
        <v>202988.35</v>
      </c>
      <c r="K334" s="2" t="s">
        <v>38</v>
      </c>
      <c r="L334" s="3">
        <v>45268</v>
      </c>
      <c r="M334" s="2" t="s">
        <v>23</v>
      </c>
      <c r="N334" s="2">
        <v>1426448.54</v>
      </c>
      <c r="O334" s="2" t="s">
        <v>24</v>
      </c>
      <c r="P334" t="str">
        <f>TEXT(Table1[[#This Row],[Transaction Date]],"mmm")</f>
        <v>Dec</v>
      </c>
    </row>
    <row r="335" spans="1:16" ht="15.75" customHeight="1" x14ac:dyDescent="0.3">
      <c r="A335" s="2" t="s">
        <v>755</v>
      </c>
      <c r="B335" s="2">
        <v>179518</v>
      </c>
      <c r="C335" s="2" t="s">
        <v>756</v>
      </c>
      <c r="D335" s="2">
        <v>388268391021</v>
      </c>
      <c r="E335" s="2" t="s">
        <v>34</v>
      </c>
      <c r="F335" s="2" t="s">
        <v>59</v>
      </c>
      <c r="G335" s="2" t="s">
        <v>60</v>
      </c>
      <c r="H335" s="2" t="s">
        <v>30</v>
      </c>
      <c r="I335" s="2" t="s">
        <v>37</v>
      </c>
      <c r="J335" s="2">
        <v>68829.84</v>
      </c>
      <c r="K335" s="2" t="s">
        <v>31</v>
      </c>
      <c r="L335" s="3">
        <v>45705</v>
      </c>
      <c r="M335" s="2" t="s">
        <v>23</v>
      </c>
      <c r="N335" s="2">
        <v>5539.5400000000081</v>
      </c>
      <c r="O335" s="2" t="s">
        <v>24</v>
      </c>
      <c r="P335" t="str">
        <f>TEXT(Table1[[#This Row],[Transaction Date]],"mmm")</f>
        <v>Feb</v>
      </c>
    </row>
    <row r="336" spans="1:16" ht="15.75" customHeight="1" x14ac:dyDescent="0.3">
      <c r="A336" s="2" t="s">
        <v>757</v>
      </c>
      <c r="B336" s="2">
        <v>224498</v>
      </c>
      <c r="C336" s="2" t="s">
        <v>758</v>
      </c>
      <c r="D336" s="2">
        <v>600039500647</v>
      </c>
      <c r="E336" s="2" t="s">
        <v>27</v>
      </c>
      <c r="F336" s="2" t="s">
        <v>28</v>
      </c>
      <c r="G336" s="2" t="s">
        <v>29</v>
      </c>
      <c r="H336" s="2" t="s">
        <v>66</v>
      </c>
      <c r="I336" s="2" t="s">
        <v>21</v>
      </c>
      <c r="J336" s="2">
        <v>276312.31</v>
      </c>
      <c r="K336" s="2" t="s">
        <v>38</v>
      </c>
      <c r="L336" s="3">
        <v>45644</v>
      </c>
      <c r="M336" s="2" t="s">
        <v>23</v>
      </c>
      <c r="N336" s="2">
        <v>696392.16999999993</v>
      </c>
      <c r="O336" s="2" t="s">
        <v>24</v>
      </c>
      <c r="P336" t="str">
        <f>TEXT(Table1[[#This Row],[Transaction Date]],"mmm")</f>
        <v>Dec</v>
      </c>
    </row>
    <row r="337" spans="1:16" ht="15.75" customHeight="1" x14ac:dyDescent="0.3">
      <c r="A337" s="2" t="s">
        <v>759</v>
      </c>
      <c r="B337" s="2">
        <v>373993</v>
      </c>
      <c r="C337" s="2" t="s">
        <v>760</v>
      </c>
      <c r="D337" s="2">
        <v>434312755539</v>
      </c>
      <c r="E337" s="2" t="s">
        <v>90</v>
      </c>
      <c r="F337" s="2" t="s">
        <v>108</v>
      </c>
      <c r="G337" s="2" t="s">
        <v>109</v>
      </c>
      <c r="H337" s="2" t="s">
        <v>30</v>
      </c>
      <c r="I337" s="2" t="s">
        <v>37</v>
      </c>
      <c r="J337" s="2">
        <v>7769.1</v>
      </c>
      <c r="K337" s="2" t="s">
        <v>31</v>
      </c>
      <c r="L337" s="3">
        <v>45686</v>
      </c>
      <c r="M337" s="2" t="s">
        <v>23</v>
      </c>
      <c r="N337" s="2">
        <v>89554.579999999987</v>
      </c>
      <c r="O337" s="2" t="s">
        <v>24</v>
      </c>
      <c r="P337" t="str">
        <f>TEXT(Table1[[#This Row],[Transaction Date]],"mmm")</f>
        <v>Jan</v>
      </c>
    </row>
    <row r="338" spans="1:16" ht="15.75" customHeight="1" x14ac:dyDescent="0.3">
      <c r="A338" s="2" t="s">
        <v>761</v>
      </c>
      <c r="B338" s="2">
        <v>445390</v>
      </c>
      <c r="C338" s="2" t="s">
        <v>762</v>
      </c>
      <c r="D338" s="2">
        <v>834906079344</v>
      </c>
      <c r="E338" s="2" t="s">
        <v>63</v>
      </c>
      <c r="F338" s="2" t="s">
        <v>176</v>
      </c>
      <c r="G338" s="2" t="s">
        <v>177</v>
      </c>
      <c r="H338" s="2" t="s">
        <v>20</v>
      </c>
      <c r="I338" s="2" t="s">
        <v>21</v>
      </c>
      <c r="J338" s="2">
        <v>496927.6</v>
      </c>
      <c r="K338" s="2" t="s">
        <v>97</v>
      </c>
      <c r="L338" s="3">
        <v>45818</v>
      </c>
      <c r="M338" s="2" t="s">
        <v>23</v>
      </c>
      <c r="N338" s="2">
        <v>1643914.5</v>
      </c>
      <c r="O338" s="2" t="s">
        <v>24</v>
      </c>
      <c r="P338" t="str">
        <f>TEXT(Table1[[#This Row],[Transaction Date]],"mmm")</f>
        <v>Jun</v>
      </c>
    </row>
    <row r="339" spans="1:16" ht="15.75" customHeight="1" x14ac:dyDescent="0.3">
      <c r="A339" s="2" t="s">
        <v>763</v>
      </c>
      <c r="B339" s="2">
        <v>392598</v>
      </c>
      <c r="C339" s="2" t="s">
        <v>764</v>
      </c>
      <c r="D339" s="2">
        <v>507228613971</v>
      </c>
      <c r="E339" s="2" t="s">
        <v>90</v>
      </c>
      <c r="F339" s="2" t="s">
        <v>108</v>
      </c>
      <c r="G339" s="2" t="s">
        <v>109</v>
      </c>
      <c r="H339" s="2" t="s">
        <v>20</v>
      </c>
      <c r="I339" s="2" t="s">
        <v>37</v>
      </c>
      <c r="J339" s="2">
        <v>26907.46</v>
      </c>
      <c r="K339" s="2" t="s">
        <v>97</v>
      </c>
      <c r="L339" s="3">
        <v>45679</v>
      </c>
      <c r="M339" s="2" t="s">
        <v>23</v>
      </c>
      <c r="N339" s="2">
        <v>1359303.82</v>
      </c>
      <c r="O339" s="2" t="s">
        <v>24</v>
      </c>
      <c r="P339" t="str">
        <f>TEXT(Table1[[#This Row],[Transaction Date]],"mmm")</f>
        <v>Jan</v>
      </c>
    </row>
    <row r="340" spans="1:16" ht="15.75" customHeight="1" x14ac:dyDescent="0.3">
      <c r="A340" s="2" t="s">
        <v>765</v>
      </c>
      <c r="B340" s="2">
        <v>627322</v>
      </c>
      <c r="C340" s="2" t="s">
        <v>766</v>
      </c>
      <c r="D340" s="2">
        <v>197653048874</v>
      </c>
      <c r="E340" s="2" t="s">
        <v>90</v>
      </c>
      <c r="F340" s="2" t="s">
        <v>161</v>
      </c>
      <c r="G340" s="2" t="s">
        <v>162</v>
      </c>
      <c r="H340" s="2" t="s">
        <v>30</v>
      </c>
      <c r="I340" s="2" t="s">
        <v>52</v>
      </c>
      <c r="J340" s="2">
        <v>381840.68</v>
      </c>
      <c r="K340" s="2" t="s">
        <v>48</v>
      </c>
      <c r="L340" s="3">
        <v>45548</v>
      </c>
      <c r="M340" s="2" t="s">
        <v>49</v>
      </c>
      <c r="N340" s="2">
        <v>1996331.03</v>
      </c>
      <c r="O340" s="2" t="s">
        <v>24</v>
      </c>
      <c r="P340" t="str">
        <f>TEXT(Table1[[#This Row],[Transaction Date]],"mmm")</f>
        <v>Sep</v>
      </c>
    </row>
    <row r="341" spans="1:16" ht="15.75" customHeight="1" x14ac:dyDescent="0.3">
      <c r="A341" s="2" t="s">
        <v>767</v>
      </c>
      <c r="B341" s="2">
        <v>674507</v>
      </c>
      <c r="C341" s="2" t="s">
        <v>768</v>
      </c>
      <c r="D341" s="2">
        <v>365343466726</v>
      </c>
      <c r="E341" s="2" t="s">
        <v>34</v>
      </c>
      <c r="F341" s="2" t="s">
        <v>72</v>
      </c>
      <c r="G341" s="2" t="s">
        <v>73</v>
      </c>
      <c r="H341" s="2" t="s">
        <v>69</v>
      </c>
      <c r="I341" s="2" t="s">
        <v>47</v>
      </c>
      <c r="J341" s="2">
        <v>123684.75</v>
      </c>
      <c r="K341" s="2" t="s">
        <v>22</v>
      </c>
      <c r="L341" s="3">
        <v>45376</v>
      </c>
      <c r="M341" s="2" t="s">
        <v>23</v>
      </c>
      <c r="N341" s="2">
        <v>355220.47999999998</v>
      </c>
      <c r="O341" s="2" t="s">
        <v>24</v>
      </c>
      <c r="P341" t="str">
        <f>TEXT(Table1[[#This Row],[Transaction Date]],"mmm")</f>
        <v>Mar</v>
      </c>
    </row>
    <row r="342" spans="1:16" ht="15.75" customHeight="1" x14ac:dyDescent="0.3">
      <c r="A342" s="2" t="s">
        <v>769</v>
      </c>
      <c r="B342" s="2">
        <v>572980</v>
      </c>
      <c r="C342" s="2" t="s">
        <v>770</v>
      </c>
      <c r="D342" s="2">
        <v>184613706984</v>
      </c>
      <c r="E342" s="2" t="s">
        <v>63</v>
      </c>
      <c r="F342" s="2" t="s">
        <v>165</v>
      </c>
      <c r="G342" s="2" t="s">
        <v>166</v>
      </c>
      <c r="H342" s="2" t="s">
        <v>69</v>
      </c>
      <c r="I342" s="2" t="s">
        <v>47</v>
      </c>
      <c r="J342" s="2">
        <v>78611.759999999995</v>
      </c>
      <c r="K342" s="2" t="s">
        <v>22</v>
      </c>
      <c r="L342" s="3">
        <v>45401</v>
      </c>
      <c r="M342" s="2" t="s">
        <v>112</v>
      </c>
      <c r="N342" s="2">
        <v>1631486.44</v>
      </c>
      <c r="O342" s="2" t="s">
        <v>24</v>
      </c>
      <c r="P342" t="str">
        <f>TEXT(Table1[[#This Row],[Transaction Date]],"mmm")</f>
        <v>Apr</v>
      </c>
    </row>
    <row r="343" spans="1:16" ht="15.75" customHeight="1" x14ac:dyDescent="0.3">
      <c r="A343" s="2" t="s">
        <v>771</v>
      </c>
      <c r="B343" s="2">
        <v>364377</v>
      </c>
      <c r="C343" s="2" t="s">
        <v>772</v>
      </c>
      <c r="D343" s="2">
        <v>669037054253</v>
      </c>
      <c r="E343" s="2" t="s">
        <v>27</v>
      </c>
      <c r="F343" s="2" t="s">
        <v>78</v>
      </c>
      <c r="G343" s="2" t="s">
        <v>79</v>
      </c>
      <c r="H343" s="2" t="s">
        <v>66</v>
      </c>
      <c r="I343" s="2" t="s">
        <v>37</v>
      </c>
      <c r="J343" s="2">
        <v>121347.74</v>
      </c>
      <c r="K343" s="2" t="s">
        <v>48</v>
      </c>
      <c r="L343" s="3">
        <v>45680</v>
      </c>
      <c r="M343" s="2" t="s">
        <v>112</v>
      </c>
      <c r="N343" s="2">
        <v>108426.39</v>
      </c>
      <c r="O343" s="2" t="s">
        <v>24</v>
      </c>
      <c r="P343" t="str">
        <f>TEXT(Table1[[#This Row],[Transaction Date]],"mmm")</f>
        <v>Jan</v>
      </c>
    </row>
    <row r="344" spans="1:16" ht="15.75" customHeight="1" x14ac:dyDescent="0.3">
      <c r="A344" s="2" t="s">
        <v>773</v>
      </c>
      <c r="B344" s="2">
        <v>989898</v>
      </c>
      <c r="C344" s="2" t="s">
        <v>774</v>
      </c>
      <c r="D344" s="2">
        <v>304809259360</v>
      </c>
      <c r="E344" s="2" t="s">
        <v>27</v>
      </c>
      <c r="F344" s="2" t="s">
        <v>191</v>
      </c>
      <c r="G344" s="2" t="s">
        <v>192</v>
      </c>
      <c r="H344" s="2" t="s">
        <v>20</v>
      </c>
      <c r="I344" s="2" t="s">
        <v>37</v>
      </c>
      <c r="J344" s="2">
        <v>51703.81</v>
      </c>
      <c r="K344" s="2" t="s">
        <v>48</v>
      </c>
      <c r="L344" s="3">
        <v>45593</v>
      </c>
      <c r="M344" s="2" t="s">
        <v>23</v>
      </c>
      <c r="N344" s="2">
        <v>641168.51</v>
      </c>
      <c r="O344" s="2" t="s">
        <v>24</v>
      </c>
      <c r="P344" t="str">
        <f>TEXT(Table1[[#This Row],[Transaction Date]],"mmm")</f>
        <v>Oct</v>
      </c>
    </row>
    <row r="345" spans="1:16" ht="15.75" customHeight="1" x14ac:dyDescent="0.3">
      <c r="A345" s="2" t="s">
        <v>775</v>
      </c>
      <c r="B345" s="2">
        <v>390792</v>
      </c>
      <c r="C345" s="2" t="s">
        <v>776</v>
      </c>
      <c r="D345" s="2">
        <v>815931680958</v>
      </c>
      <c r="E345" s="2" t="s">
        <v>17</v>
      </c>
      <c r="F345" s="2" t="s">
        <v>45</v>
      </c>
      <c r="G345" s="2" t="s">
        <v>46</v>
      </c>
      <c r="H345" s="2" t="s">
        <v>30</v>
      </c>
      <c r="I345" s="2" t="s">
        <v>47</v>
      </c>
      <c r="J345" s="2">
        <v>163533.1</v>
      </c>
      <c r="K345" s="2" t="s">
        <v>48</v>
      </c>
      <c r="L345" s="3">
        <v>45679</v>
      </c>
      <c r="M345" s="2" t="s">
        <v>23</v>
      </c>
      <c r="N345" s="2">
        <v>1859589.9</v>
      </c>
      <c r="O345" s="2" t="s">
        <v>24</v>
      </c>
      <c r="P345" t="str">
        <f>TEXT(Table1[[#This Row],[Transaction Date]],"mmm")</f>
        <v>Jan</v>
      </c>
    </row>
    <row r="346" spans="1:16" ht="15.75" customHeight="1" x14ac:dyDescent="0.3">
      <c r="A346" s="2" t="s">
        <v>777</v>
      </c>
      <c r="B346" s="2">
        <v>409468</v>
      </c>
      <c r="C346" s="2" t="s">
        <v>778</v>
      </c>
      <c r="D346" s="2">
        <v>385357726132</v>
      </c>
      <c r="E346" s="2" t="s">
        <v>27</v>
      </c>
      <c r="F346" s="2" t="s">
        <v>191</v>
      </c>
      <c r="G346" s="2" t="s">
        <v>192</v>
      </c>
      <c r="H346" s="2" t="s">
        <v>20</v>
      </c>
      <c r="I346" s="2" t="s">
        <v>47</v>
      </c>
      <c r="J346" s="2">
        <v>273026.71000000002</v>
      </c>
      <c r="K346" s="2" t="s">
        <v>22</v>
      </c>
      <c r="L346" s="3">
        <v>45473</v>
      </c>
      <c r="M346" s="2" t="s">
        <v>23</v>
      </c>
      <c r="N346" s="2">
        <v>639598.09000000008</v>
      </c>
      <c r="O346" s="2" t="s">
        <v>24</v>
      </c>
      <c r="P346" t="str">
        <f>TEXT(Table1[[#This Row],[Transaction Date]],"mmm")</f>
        <v>Jun</v>
      </c>
    </row>
    <row r="347" spans="1:16" ht="15.75" customHeight="1" x14ac:dyDescent="0.3">
      <c r="A347" s="2" t="s">
        <v>779</v>
      </c>
      <c r="B347" s="2">
        <v>980642</v>
      </c>
      <c r="C347" s="2" t="s">
        <v>780</v>
      </c>
      <c r="D347" s="2">
        <v>100768524152</v>
      </c>
      <c r="E347" s="2" t="s">
        <v>34</v>
      </c>
      <c r="F347" s="2" t="s">
        <v>35</v>
      </c>
      <c r="G347" s="2" t="s">
        <v>36</v>
      </c>
      <c r="H347" s="2" t="s">
        <v>69</v>
      </c>
      <c r="I347" s="2" t="s">
        <v>47</v>
      </c>
      <c r="J347" s="2">
        <v>7411.04</v>
      </c>
      <c r="K347" s="2" t="s">
        <v>48</v>
      </c>
      <c r="L347" s="3">
        <v>45156</v>
      </c>
      <c r="M347" s="2" t="s">
        <v>23</v>
      </c>
      <c r="N347" s="2">
        <v>1595355.14</v>
      </c>
      <c r="O347" s="2" t="s">
        <v>24</v>
      </c>
      <c r="P347" t="str">
        <f>TEXT(Table1[[#This Row],[Transaction Date]],"mmm")</f>
        <v>Aug</v>
      </c>
    </row>
    <row r="348" spans="1:16" ht="15.75" customHeight="1" x14ac:dyDescent="0.3">
      <c r="A348" s="2" t="s">
        <v>781</v>
      </c>
      <c r="B348" s="2">
        <v>547953</v>
      </c>
      <c r="C348" s="2" t="s">
        <v>782</v>
      </c>
      <c r="D348" s="2">
        <v>284180983285</v>
      </c>
      <c r="E348" s="2" t="s">
        <v>27</v>
      </c>
      <c r="F348" s="2" t="s">
        <v>28</v>
      </c>
      <c r="G348" s="2" t="s">
        <v>29</v>
      </c>
      <c r="H348" s="2" t="s">
        <v>66</v>
      </c>
      <c r="I348" s="2" t="s">
        <v>37</v>
      </c>
      <c r="J348" s="2">
        <v>4390.57</v>
      </c>
      <c r="K348" s="2" t="s">
        <v>38</v>
      </c>
      <c r="L348" s="3">
        <v>45364</v>
      </c>
      <c r="M348" s="2" t="s">
        <v>23</v>
      </c>
      <c r="N348" s="2">
        <v>404938.51</v>
      </c>
      <c r="O348" s="2" t="s">
        <v>24</v>
      </c>
      <c r="P348" t="str">
        <f>TEXT(Table1[[#This Row],[Transaction Date]],"mmm")</f>
        <v>Mar</v>
      </c>
    </row>
    <row r="349" spans="1:16" ht="15.75" customHeight="1" x14ac:dyDescent="0.3">
      <c r="A349" s="2" t="s">
        <v>783</v>
      </c>
      <c r="B349" s="2">
        <v>740305</v>
      </c>
      <c r="C349" s="2" t="s">
        <v>784</v>
      </c>
      <c r="D349" s="2">
        <v>242642960021</v>
      </c>
      <c r="E349" s="2" t="s">
        <v>27</v>
      </c>
      <c r="F349" s="2" t="s">
        <v>215</v>
      </c>
      <c r="G349" s="2" t="s">
        <v>216</v>
      </c>
      <c r="H349" s="2" t="s">
        <v>69</v>
      </c>
      <c r="I349" s="2" t="s">
        <v>52</v>
      </c>
      <c r="J349" s="2">
        <v>256573.7</v>
      </c>
      <c r="K349" s="2" t="s">
        <v>31</v>
      </c>
      <c r="L349" s="3">
        <v>45149</v>
      </c>
      <c r="M349" s="2" t="s">
        <v>112</v>
      </c>
      <c r="N349" s="2">
        <v>1215289.54</v>
      </c>
      <c r="O349" s="2" t="s">
        <v>24</v>
      </c>
      <c r="P349" t="str">
        <f>TEXT(Table1[[#This Row],[Transaction Date]],"mmm")</f>
        <v>Aug</v>
      </c>
    </row>
    <row r="350" spans="1:16" ht="15.75" customHeight="1" x14ac:dyDescent="0.3">
      <c r="A350" s="2" t="s">
        <v>785</v>
      </c>
      <c r="B350" s="2">
        <v>427894</v>
      </c>
      <c r="C350" s="2" t="s">
        <v>786</v>
      </c>
      <c r="D350" s="2">
        <v>870186363718</v>
      </c>
      <c r="E350" s="2" t="s">
        <v>90</v>
      </c>
      <c r="F350" s="2" t="s">
        <v>108</v>
      </c>
      <c r="G350" s="2" t="s">
        <v>109</v>
      </c>
      <c r="H350" s="2" t="s">
        <v>66</v>
      </c>
      <c r="I350" s="2" t="s">
        <v>47</v>
      </c>
      <c r="J350" s="2">
        <v>192646.23</v>
      </c>
      <c r="K350" s="2" t="s">
        <v>97</v>
      </c>
      <c r="L350" s="3">
        <v>45703</v>
      </c>
      <c r="M350" s="2" t="s">
        <v>23</v>
      </c>
      <c r="N350" s="2">
        <v>1958117.95</v>
      </c>
      <c r="O350" s="2" t="s">
        <v>24</v>
      </c>
      <c r="P350" t="str">
        <f>TEXT(Table1[[#This Row],[Transaction Date]],"mmm")</f>
        <v>Feb</v>
      </c>
    </row>
    <row r="351" spans="1:16" ht="15.75" customHeight="1" x14ac:dyDescent="0.3">
      <c r="A351" s="2" t="s">
        <v>787</v>
      </c>
      <c r="B351" s="2">
        <v>586706</v>
      </c>
      <c r="C351" s="2" t="s">
        <v>788</v>
      </c>
      <c r="D351" s="2">
        <v>386125421772</v>
      </c>
      <c r="E351" s="2" t="s">
        <v>63</v>
      </c>
      <c r="F351" s="2" t="s">
        <v>165</v>
      </c>
      <c r="G351" s="2" t="s">
        <v>166</v>
      </c>
      <c r="H351" s="2" t="s">
        <v>30</v>
      </c>
      <c r="I351" s="2" t="s">
        <v>47</v>
      </c>
      <c r="J351" s="2">
        <v>245014.75</v>
      </c>
      <c r="K351" s="2" t="s">
        <v>48</v>
      </c>
      <c r="L351" s="3">
        <v>45321</v>
      </c>
      <c r="M351" s="2" t="s">
        <v>23</v>
      </c>
      <c r="N351" s="2">
        <v>1896528.53</v>
      </c>
      <c r="O351" s="2" t="s">
        <v>24</v>
      </c>
      <c r="P351" t="str">
        <f>TEXT(Table1[[#This Row],[Transaction Date]],"mmm")</f>
        <v>Jan</v>
      </c>
    </row>
    <row r="352" spans="1:16" ht="15.75" customHeight="1" x14ac:dyDescent="0.3">
      <c r="A352" s="2" t="s">
        <v>789</v>
      </c>
      <c r="B352" s="2">
        <v>684987</v>
      </c>
      <c r="C352" s="2" t="s">
        <v>790</v>
      </c>
      <c r="D352" s="2">
        <v>462363293377</v>
      </c>
      <c r="E352" s="2" t="s">
        <v>63</v>
      </c>
      <c r="F352" s="2" t="s">
        <v>82</v>
      </c>
      <c r="G352" s="2" t="s">
        <v>83</v>
      </c>
      <c r="H352" s="2" t="s">
        <v>30</v>
      </c>
      <c r="I352" s="2" t="s">
        <v>52</v>
      </c>
      <c r="J352" s="2">
        <v>498754.84</v>
      </c>
      <c r="K352" s="2" t="s">
        <v>22</v>
      </c>
      <c r="L352" s="3">
        <v>45265</v>
      </c>
      <c r="M352" s="2" t="s">
        <v>23</v>
      </c>
      <c r="N352" s="2">
        <v>1284513.78</v>
      </c>
      <c r="O352" s="2" t="s">
        <v>24</v>
      </c>
      <c r="P352" t="str">
        <f>TEXT(Table1[[#This Row],[Transaction Date]],"mmm")</f>
        <v>Dec</v>
      </c>
    </row>
    <row r="353" spans="1:16" ht="15.75" customHeight="1" x14ac:dyDescent="0.3">
      <c r="A353" s="2" t="s">
        <v>791</v>
      </c>
      <c r="B353" s="2">
        <v>718664</v>
      </c>
      <c r="C353" s="2" t="s">
        <v>792</v>
      </c>
      <c r="D353" s="2">
        <v>283341172763</v>
      </c>
      <c r="E353" s="2" t="s">
        <v>34</v>
      </c>
      <c r="F353" s="2" t="s">
        <v>41</v>
      </c>
      <c r="G353" s="2" t="s">
        <v>42</v>
      </c>
      <c r="H353" s="2" t="s">
        <v>30</v>
      </c>
      <c r="I353" s="2" t="s">
        <v>47</v>
      </c>
      <c r="J353" s="2">
        <v>223897.88</v>
      </c>
      <c r="K353" s="2" t="s">
        <v>22</v>
      </c>
      <c r="L353" s="3">
        <v>45418</v>
      </c>
      <c r="M353" s="2" t="s">
        <v>23</v>
      </c>
      <c r="N353" s="2">
        <v>1081271.3899999999</v>
      </c>
      <c r="O353" s="2" t="s">
        <v>24</v>
      </c>
      <c r="P353" t="str">
        <f>TEXT(Table1[[#This Row],[Transaction Date]],"mmm")</f>
        <v>May</v>
      </c>
    </row>
    <row r="354" spans="1:16" ht="15.75" customHeight="1" x14ac:dyDescent="0.3">
      <c r="A354" s="2" t="s">
        <v>793</v>
      </c>
      <c r="B354" s="2">
        <v>361462</v>
      </c>
      <c r="C354" s="2" t="s">
        <v>794</v>
      </c>
      <c r="D354" s="2">
        <v>605459164624</v>
      </c>
      <c r="E354" s="2" t="s">
        <v>63</v>
      </c>
      <c r="F354" s="2" t="s">
        <v>165</v>
      </c>
      <c r="G354" s="2" t="s">
        <v>166</v>
      </c>
      <c r="H354" s="2" t="s">
        <v>20</v>
      </c>
      <c r="I354" s="2" t="s">
        <v>37</v>
      </c>
      <c r="J354" s="2">
        <v>133808.04</v>
      </c>
      <c r="K354" s="2" t="s">
        <v>31</v>
      </c>
      <c r="L354" s="3">
        <v>45618</v>
      </c>
      <c r="M354" s="2" t="s">
        <v>23</v>
      </c>
      <c r="N354" s="2">
        <v>1345738.11</v>
      </c>
      <c r="O354" s="2" t="s">
        <v>24</v>
      </c>
      <c r="P354" t="str">
        <f>TEXT(Table1[[#This Row],[Transaction Date]],"mmm")</f>
        <v>Nov</v>
      </c>
    </row>
    <row r="355" spans="1:16" ht="15.75" customHeight="1" x14ac:dyDescent="0.3">
      <c r="A355" s="2" t="s">
        <v>795</v>
      </c>
      <c r="B355" s="2">
        <v>633665</v>
      </c>
      <c r="C355" s="2" t="s">
        <v>796</v>
      </c>
      <c r="D355" s="2">
        <v>198565706740</v>
      </c>
      <c r="E355" s="2" t="s">
        <v>34</v>
      </c>
      <c r="F355" s="2" t="s">
        <v>72</v>
      </c>
      <c r="G355" s="2" t="s">
        <v>73</v>
      </c>
      <c r="H355" s="2" t="s">
        <v>66</v>
      </c>
      <c r="I355" s="2" t="s">
        <v>37</v>
      </c>
      <c r="J355" s="2">
        <v>45421.34</v>
      </c>
      <c r="K355" s="2" t="s">
        <v>48</v>
      </c>
      <c r="L355" s="3">
        <v>45443</v>
      </c>
      <c r="M355" s="2" t="s">
        <v>23</v>
      </c>
      <c r="N355" s="2">
        <v>821237.76000000001</v>
      </c>
      <c r="O355" s="2" t="s">
        <v>24</v>
      </c>
      <c r="P355" t="str">
        <f>TEXT(Table1[[#This Row],[Transaction Date]],"mmm")</f>
        <v>May</v>
      </c>
    </row>
    <row r="356" spans="1:16" ht="15.75" customHeight="1" x14ac:dyDescent="0.3">
      <c r="A356" s="2" t="s">
        <v>797</v>
      </c>
      <c r="B356" s="2">
        <v>894189</v>
      </c>
      <c r="C356" s="2" t="s">
        <v>798</v>
      </c>
      <c r="D356" s="2">
        <v>261191347516</v>
      </c>
      <c r="E356" s="2" t="s">
        <v>90</v>
      </c>
      <c r="F356" s="2" t="s">
        <v>108</v>
      </c>
      <c r="G356" s="2" t="s">
        <v>109</v>
      </c>
      <c r="H356" s="2" t="s">
        <v>20</v>
      </c>
      <c r="I356" s="2" t="s">
        <v>21</v>
      </c>
      <c r="J356" s="2">
        <v>172113.86</v>
      </c>
      <c r="K356" s="2" t="s">
        <v>48</v>
      </c>
      <c r="L356" s="3">
        <v>45129</v>
      </c>
      <c r="M356" s="2" t="s">
        <v>23</v>
      </c>
      <c r="N356" s="2">
        <v>896946.19</v>
      </c>
      <c r="O356" s="2" t="s">
        <v>24</v>
      </c>
      <c r="P356" t="str">
        <f>TEXT(Table1[[#This Row],[Transaction Date]],"mmm")</f>
        <v>Jul</v>
      </c>
    </row>
    <row r="357" spans="1:16" ht="15.75" customHeight="1" x14ac:dyDescent="0.3">
      <c r="A357" s="2" t="s">
        <v>799</v>
      </c>
      <c r="B357" s="2">
        <v>475202</v>
      </c>
      <c r="C357" s="2" t="s">
        <v>800</v>
      </c>
      <c r="D357" s="2">
        <v>263661783529</v>
      </c>
      <c r="E357" s="2" t="s">
        <v>90</v>
      </c>
      <c r="F357" s="2" t="s">
        <v>161</v>
      </c>
      <c r="G357" s="2" t="s">
        <v>162</v>
      </c>
      <c r="H357" s="2" t="s">
        <v>20</v>
      </c>
      <c r="I357" s="2" t="s">
        <v>37</v>
      </c>
      <c r="J357" s="2">
        <v>78597.94</v>
      </c>
      <c r="K357" s="2" t="s">
        <v>22</v>
      </c>
      <c r="L357" s="3">
        <v>45714</v>
      </c>
      <c r="M357" s="2" t="s">
        <v>23</v>
      </c>
      <c r="N357" s="2">
        <v>1132144.31</v>
      </c>
      <c r="O357" s="2" t="s">
        <v>24</v>
      </c>
      <c r="P357" t="str">
        <f>TEXT(Table1[[#This Row],[Transaction Date]],"mmm")</f>
        <v>Feb</v>
      </c>
    </row>
    <row r="358" spans="1:16" ht="15.75" customHeight="1" x14ac:dyDescent="0.3">
      <c r="A358" s="2" t="s">
        <v>801</v>
      </c>
      <c r="B358" s="2">
        <v>853516</v>
      </c>
      <c r="C358" s="2" t="s">
        <v>802</v>
      </c>
      <c r="D358" s="2">
        <v>909642409332</v>
      </c>
      <c r="E358" s="2" t="s">
        <v>34</v>
      </c>
      <c r="F358" s="2" t="s">
        <v>41</v>
      </c>
      <c r="G358" s="2" t="s">
        <v>42</v>
      </c>
      <c r="H358" s="2" t="s">
        <v>30</v>
      </c>
      <c r="I358" s="2" t="s">
        <v>47</v>
      </c>
      <c r="J358" s="2">
        <v>2034.23</v>
      </c>
      <c r="K358" s="2" t="s">
        <v>38</v>
      </c>
      <c r="L358" s="3">
        <v>45641</v>
      </c>
      <c r="M358" s="2" t="s">
        <v>49</v>
      </c>
      <c r="N358" s="2">
        <v>1179384.8799999999</v>
      </c>
      <c r="O358" s="2" t="s">
        <v>24</v>
      </c>
      <c r="P358" t="str">
        <f>TEXT(Table1[[#This Row],[Transaction Date]],"mmm")</f>
        <v>Dec</v>
      </c>
    </row>
    <row r="359" spans="1:16" ht="15.75" customHeight="1" x14ac:dyDescent="0.3">
      <c r="A359" s="2" t="s">
        <v>803</v>
      </c>
      <c r="B359" s="2">
        <v>150512</v>
      </c>
      <c r="C359" s="2" t="s">
        <v>804</v>
      </c>
      <c r="D359" s="2">
        <v>947252500435</v>
      </c>
      <c r="E359" s="2" t="s">
        <v>63</v>
      </c>
      <c r="F359" s="2" t="s">
        <v>145</v>
      </c>
      <c r="G359" s="2" t="s">
        <v>146</v>
      </c>
      <c r="H359" s="2" t="s">
        <v>66</v>
      </c>
      <c r="I359" s="2" t="s">
        <v>37</v>
      </c>
      <c r="J359" s="2">
        <v>145852.56</v>
      </c>
      <c r="K359" s="2" t="s">
        <v>22</v>
      </c>
      <c r="L359" s="3">
        <v>45649</v>
      </c>
      <c r="M359" s="2" t="s">
        <v>23</v>
      </c>
      <c r="N359" s="2">
        <v>1802050.86</v>
      </c>
      <c r="O359" s="2" t="s">
        <v>24</v>
      </c>
      <c r="P359" t="str">
        <f>TEXT(Table1[[#This Row],[Transaction Date]],"mmm")</f>
        <v>Dec</v>
      </c>
    </row>
    <row r="360" spans="1:16" ht="15.75" customHeight="1" x14ac:dyDescent="0.3">
      <c r="A360" s="2" t="s">
        <v>805</v>
      </c>
      <c r="B360" s="2">
        <v>114174</v>
      </c>
      <c r="C360" s="2" t="s">
        <v>806</v>
      </c>
      <c r="D360" s="2">
        <v>503389519825</v>
      </c>
      <c r="E360" s="2" t="s">
        <v>63</v>
      </c>
      <c r="F360" s="2" t="s">
        <v>145</v>
      </c>
      <c r="G360" s="2" t="s">
        <v>146</v>
      </c>
      <c r="H360" s="2" t="s">
        <v>30</v>
      </c>
      <c r="I360" s="2" t="s">
        <v>21</v>
      </c>
      <c r="J360" s="2">
        <v>505150.86</v>
      </c>
      <c r="K360" s="2" t="s">
        <v>48</v>
      </c>
      <c r="L360" s="3">
        <v>45124</v>
      </c>
      <c r="M360" s="2" t="s">
        <v>23</v>
      </c>
      <c r="N360" s="2">
        <v>1521144.43</v>
      </c>
      <c r="O360" s="2" t="s">
        <v>24</v>
      </c>
      <c r="P360" t="str">
        <f>TEXT(Table1[[#This Row],[Transaction Date]],"mmm")</f>
        <v>Jul</v>
      </c>
    </row>
    <row r="361" spans="1:16" ht="15.75" customHeight="1" x14ac:dyDescent="0.3">
      <c r="A361" s="2" t="s">
        <v>807</v>
      </c>
      <c r="B361" s="2">
        <v>815415</v>
      </c>
      <c r="C361" s="2" t="s">
        <v>808</v>
      </c>
      <c r="D361" s="2">
        <v>707425693401</v>
      </c>
      <c r="E361" s="2" t="s">
        <v>27</v>
      </c>
      <c r="F361" s="2" t="s">
        <v>149</v>
      </c>
      <c r="G361" s="2" t="s">
        <v>150</v>
      </c>
      <c r="H361" s="2" t="s">
        <v>20</v>
      </c>
      <c r="I361" s="2" t="s">
        <v>47</v>
      </c>
      <c r="J361" s="2">
        <v>263485.11</v>
      </c>
      <c r="K361" s="2" t="s">
        <v>48</v>
      </c>
      <c r="L361" s="3">
        <v>45805</v>
      </c>
      <c r="M361" s="2" t="s">
        <v>23</v>
      </c>
      <c r="N361" s="2">
        <v>772198.29</v>
      </c>
      <c r="O361" s="2" t="s">
        <v>24</v>
      </c>
      <c r="P361" t="str">
        <f>TEXT(Table1[[#This Row],[Transaction Date]],"mmm")</f>
        <v>May</v>
      </c>
    </row>
    <row r="362" spans="1:16" ht="15.75" customHeight="1" x14ac:dyDescent="0.3">
      <c r="A362" s="2" t="s">
        <v>809</v>
      </c>
      <c r="B362" s="2">
        <v>332907</v>
      </c>
      <c r="C362" s="2" t="s">
        <v>810</v>
      </c>
      <c r="D362" s="2">
        <v>775725282488</v>
      </c>
      <c r="E362" s="2" t="s">
        <v>17</v>
      </c>
      <c r="F362" s="2" t="s">
        <v>45</v>
      </c>
      <c r="G362" s="2" t="s">
        <v>46</v>
      </c>
      <c r="H362" s="2" t="s">
        <v>69</v>
      </c>
      <c r="I362" s="2" t="s">
        <v>52</v>
      </c>
      <c r="J362" s="2">
        <v>477061.46</v>
      </c>
      <c r="K362" s="2" t="s">
        <v>31</v>
      </c>
      <c r="L362" s="3">
        <v>45450</v>
      </c>
      <c r="M362" s="2" t="s">
        <v>23</v>
      </c>
      <c r="N362" s="2">
        <v>943250.81</v>
      </c>
      <c r="O362" s="2" t="s">
        <v>178</v>
      </c>
      <c r="P362" t="str">
        <f>TEXT(Table1[[#This Row],[Transaction Date]],"mmm")</f>
        <v>Jun</v>
      </c>
    </row>
    <row r="363" spans="1:16" ht="15.75" customHeight="1" x14ac:dyDescent="0.3">
      <c r="A363" s="2" t="s">
        <v>811</v>
      </c>
      <c r="B363" s="2">
        <v>888086</v>
      </c>
      <c r="C363" s="2" t="s">
        <v>812</v>
      </c>
      <c r="D363" s="2">
        <v>396619643095</v>
      </c>
      <c r="E363" s="2" t="s">
        <v>17</v>
      </c>
      <c r="F363" s="2" t="s">
        <v>18</v>
      </c>
      <c r="G363" s="2" t="s">
        <v>19</v>
      </c>
      <c r="H363" s="2" t="s">
        <v>20</v>
      </c>
      <c r="I363" s="2" t="s">
        <v>37</v>
      </c>
      <c r="J363" s="2">
        <v>89540.74</v>
      </c>
      <c r="K363" s="2" t="s">
        <v>22</v>
      </c>
      <c r="L363" s="3">
        <v>45727</v>
      </c>
      <c r="M363" s="2" t="s">
        <v>23</v>
      </c>
      <c r="N363" s="2">
        <v>1430531.1</v>
      </c>
      <c r="O363" s="2" t="s">
        <v>24</v>
      </c>
      <c r="P363" t="str">
        <f>TEXT(Table1[[#This Row],[Transaction Date]],"mmm")</f>
        <v>Mar</v>
      </c>
    </row>
    <row r="364" spans="1:16" ht="15.75" customHeight="1" x14ac:dyDescent="0.3">
      <c r="A364" s="2" t="s">
        <v>813</v>
      </c>
      <c r="B364" s="2">
        <v>344715</v>
      </c>
      <c r="C364" s="2" t="s">
        <v>814</v>
      </c>
      <c r="D364" s="2">
        <v>662042689096</v>
      </c>
      <c r="E364" s="2" t="s">
        <v>90</v>
      </c>
      <c r="F364" s="2" t="s">
        <v>161</v>
      </c>
      <c r="G364" s="2" t="s">
        <v>162</v>
      </c>
      <c r="H364" s="2" t="s">
        <v>69</v>
      </c>
      <c r="I364" s="2" t="s">
        <v>21</v>
      </c>
      <c r="J364" s="2">
        <v>377204.37</v>
      </c>
      <c r="K364" s="2" t="s">
        <v>38</v>
      </c>
      <c r="L364" s="3">
        <v>45524</v>
      </c>
      <c r="M364" s="2" t="s">
        <v>23</v>
      </c>
      <c r="N364" s="2">
        <v>1214932.99</v>
      </c>
      <c r="O364" s="2" t="s">
        <v>24</v>
      </c>
      <c r="P364" t="str">
        <f>TEXT(Table1[[#This Row],[Transaction Date]],"mmm")</f>
        <v>Aug</v>
      </c>
    </row>
    <row r="365" spans="1:16" ht="15.75" customHeight="1" x14ac:dyDescent="0.3">
      <c r="A365" s="2" t="s">
        <v>815</v>
      </c>
      <c r="B365" s="2">
        <v>475616</v>
      </c>
      <c r="C365" s="2" t="s">
        <v>816</v>
      </c>
      <c r="D365" s="2">
        <v>174971552064</v>
      </c>
      <c r="E365" s="2" t="s">
        <v>63</v>
      </c>
      <c r="F365" s="2" t="s">
        <v>176</v>
      </c>
      <c r="G365" s="2" t="s">
        <v>177</v>
      </c>
      <c r="H365" s="2" t="s">
        <v>20</v>
      </c>
      <c r="I365" s="2" t="s">
        <v>47</v>
      </c>
      <c r="J365" s="2">
        <v>5600</v>
      </c>
      <c r="K365" s="2" t="s">
        <v>48</v>
      </c>
      <c r="L365" s="3">
        <v>45804</v>
      </c>
      <c r="M365" s="2" t="s">
        <v>23</v>
      </c>
      <c r="N365" s="2">
        <v>341311.75</v>
      </c>
      <c r="O365" s="2" t="s">
        <v>24</v>
      </c>
      <c r="P365" t="str">
        <f>TEXT(Table1[[#This Row],[Transaction Date]],"mmm")</f>
        <v>May</v>
      </c>
    </row>
    <row r="366" spans="1:16" ht="15.75" customHeight="1" x14ac:dyDescent="0.3">
      <c r="A366" s="2" t="s">
        <v>817</v>
      </c>
      <c r="B366" s="2">
        <v>219887</v>
      </c>
      <c r="C366" s="2" t="s">
        <v>818</v>
      </c>
      <c r="D366" s="2">
        <v>718917028742</v>
      </c>
      <c r="E366" s="2" t="s">
        <v>90</v>
      </c>
      <c r="F366" s="2" t="s">
        <v>104</v>
      </c>
      <c r="G366" s="2" t="s">
        <v>105</v>
      </c>
      <c r="H366" s="2" t="s">
        <v>30</v>
      </c>
      <c r="I366" s="2" t="s">
        <v>47</v>
      </c>
      <c r="J366" s="2">
        <v>218817.69</v>
      </c>
      <c r="K366" s="2" t="s">
        <v>48</v>
      </c>
      <c r="L366" s="3">
        <v>45835</v>
      </c>
      <c r="M366" s="2" t="s">
        <v>49</v>
      </c>
      <c r="N366" s="2">
        <v>343750.94</v>
      </c>
      <c r="O366" s="2" t="s">
        <v>24</v>
      </c>
      <c r="P366" t="str">
        <f>TEXT(Table1[[#This Row],[Transaction Date]],"mmm")</f>
        <v>Jun</v>
      </c>
    </row>
    <row r="367" spans="1:16" ht="15.75" customHeight="1" x14ac:dyDescent="0.3">
      <c r="A367" s="2" t="s">
        <v>819</v>
      </c>
      <c r="B367" s="2">
        <v>374263</v>
      </c>
      <c r="C367" s="2" t="s">
        <v>820</v>
      </c>
      <c r="D367" s="2">
        <v>676729996656</v>
      </c>
      <c r="E367" s="2" t="s">
        <v>90</v>
      </c>
      <c r="F367" s="2" t="s">
        <v>91</v>
      </c>
      <c r="G367" s="2" t="s">
        <v>92</v>
      </c>
      <c r="H367" s="2" t="s">
        <v>30</v>
      </c>
      <c r="I367" s="2" t="s">
        <v>52</v>
      </c>
      <c r="J367" s="2">
        <v>332941.88</v>
      </c>
      <c r="K367" s="2" t="s">
        <v>22</v>
      </c>
      <c r="L367" s="3">
        <v>45342</v>
      </c>
      <c r="M367" s="2" t="s">
        <v>23</v>
      </c>
      <c r="N367" s="2">
        <v>1594009.73</v>
      </c>
      <c r="O367" s="2" t="s">
        <v>24</v>
      </c>
      <c r="P367" t="str">
        <f>TEXT(Table1[[#This Row],[Transaction Date]],"mmm")</f>
        <v>Feb</v>
      </c>
    </row>
    <row r="368" spans="1:16" ht="15.75" customHeight="1" x14ac:dyDescent="0.3">
      <c r="A368" s="2" t="s">
        <v>821</v>
      </c>
      <c r="B368" s="2">
        <v>223924</v>
      </c>
      <c r="C368" s="2" t="s">
        <v>822</v>
      </c>
      <c r="D368" s="2">
        <v>667714778462</v>
      </c>
      <c r="E368" s="2" t="s">
        <v>34</v>
      </c>
      <c r="F368" s="2" t="s">
        <v>35</v>
      </c>
      <c r="G368" s="2" t="s">
        <v>36</v>
      </c>
      <c r="H368" s="2" t="s">
        <v>66</v>
      </c>
      <c r="I368" s="2" t="s">
        <v>52</v>
      </c>
      <c r="J368" s="2">
        <v>103224.63</v>
      </c>
      <c r="K368" s="2" t="s">
        <v>22</v>
      </c>
      <c r="L368" s="3">
        <v>45119</v>
      </c>
      <c r="M368" s="2" t="s">
        <v>23</v>
      </c>
      <c r="N368" s="2">
        <v>770321.19000000006</v>
      </c>
      <c r="O368" s="2" t="s">
        <v>24</v>
      </c>
      <c r="P368" t="str">
        <f>TEXT(Table1[[#This Row],[Transaction Date]],"mmm")</f>
        <v>Jul</v>
      </c>
    </row>
    <row r="369" spans="1:16" ht="15.75" customHeight="1" x14ac:dyDescent="0.3">
      <c r="A369" s="2" t="s">
        <v>823</v>
      </c>
      <c r="B369" s="2">
        <v>539350</v>
      </c>
      <c r="C369" s="2" t="s">
        <v>824</v>
      </c>
      <c r="D369" s="2">
        <v>733606955563</v>
      </c>
      <c r="E369" s="2" t="s">
        <v>27</v>
      </c>
      <c r="F369" s="2" t="s">
        <v>191</v>
      </c>
      <c r="G369" s="2" t="s">
        <v>192</v>
      </c>
      <c r="H369" s="2" t="s">
        <v>30</v>
      </c>
      <c r="I369" s="2" t="s">
        <v>52</v>
      </c>
      <c r="J369" s="2">
        <v>82653.77</v>
      </c>
      <c r="K369" s="2" t="s">
        <v>48</v>
      </c>
      <c r="L369" s="3">
        <v>45819</v>
      </c>
      <c r="M369" s="2" t="s">
        <v>23</v>
      </c>
      <c r="N369" s="2">
        <v>1028818.01</v>
      </c>
      <c r="O369" s="2" t="s">
        <v>24</v>
      </c>
      <c r="P369" t="str">
        <f>TEXT(Table1[[#This Row],[Transaction Date]],"mmm")</f>
        <v>Jun</v>
      </c>
    </row>
    <row r="370" spans="1:16" ht="15.75" customHeight="1" x14ac:dyDescent="0.3">
      <c r="A370" s="2" t="s">
        <v>825</v>
      </c>
      <c r="B370" s="2">
        <v>405648</v>
      </c>
      <c r="C370" s="2" t="s">
        <v>826</v>
      </c>
      <c r="D370" s="2">
        <v>360522614619</v>
      </c>
      <c r="E370" s="2" t="s">
        <v>17</v>
      </c>
      <c r="F370" s="2" t="s">
        <v>86</v>
      </c>
      <c r="G370" s="2" t="s">
        <v>87</v>
      </c>
      <c r="H370" s="2" t="s">
        <v>30</v>
      </c>
      <c r="I370" s="2" t="s">
        <v>37</v>
      </c>
      <c r="J370" s="2">
        <v>78021.990000000005</v>
      </c>
      <c r="K370" s="2" t="s">
        <v>38</v>
      </c>
      <c r="L370" s="3">
        <v>45312</v>
      </c>
      <c r="M370" s="2" t="s">
        <v>23</v>
      </c>
      <c r="N370" s="2">
        <v>370202.29</v>
      </c>
      <c r="O370" s="2" t="s">
        <v>24</v>
      </c>
      <c r="P370" t="str">
        <f>TEXT(Table1[[#This Row],[Transaction Date]],"mmm")</f>
        <v>Jan</v>
      </c>
    </row>
    <row r="371" spans="1:16" ht="15.75" customHeight="1" x14ac:dyDescent="0.3">
      <c r="A371" s="2" t="s">
        <v>827</v>
      </c>
      <c r="B371" s="2">
        <v>479949</v>
      </c>
      <c r="C371" s="2" t="s">
        <v>828</v>
      </c>
      <c r="D371" s="2">
        <v>175860036084</v>
      </c>
      <c r="E371" s="2" t="s">
        <v>27</v>
      </c>
      <c r="F371" s="2" t="s">
        <v>191</v>
      </c>
      <c r="G371" s="2" t="s">
        <v>192</v>
      </c>
      <c r="H371" s="2" t="s">
        <v>66</v>
      </c>
      <c r="I371" s="2" t="s">
        <v>37</v>
      </c>
      <c r="J371" s="2">
        <v>27892.53</v>
      </c>
      <c r="K371" s="2" t="s">
        <v>31</v>
      </c>
      <c r="L371" s="3">
        <v>45519</v>
      </c>
      <c r="M371" s="2" t="s">
        <v>23</v>
      </c>
      <c r="N371" s="2">
        <v>1226681.8400000001</v>
      </c>
      <c r="O371" s="2" t="s">
        <v>24</v>
      </c>
      <c r="P371" t="str">
        <f>TEXT(Table1[[#This Row],[Transaction Date]],"mmm")</f>
        <v>Aug</v>
      </c>
    </row>
    <row r="372" spans="1:16" ht="15.75" customHeight="1" x14ac:dyDescent="0.3">
      <c r="A372" s="2" t="s">
        <v>829</v>
      </c>
      <c r="B372" s="2">
        <v>387939</v>
      </c>
      <c r="C372" s="2" t="s">
        <v>830</v>
      </c>
      <c r="D372" s="2">
        <v>260103738581</v>
      </c>
      <c r="E372" s="2" t="s">
        <v>27</v>
      </c>
      <c r="F372" s="2" t="s">
        <v>78</v>
      </c>
      <c r="G372" s="2" t="s">
        <v>79</v>
      </c>
      <c r="H372" s="2" t="s">
        <v>20</v>
      </c>
      <c r="I372" s="2" t="s">
        <v>37</v>
      </c>
      <c r="J372" s="2">
        <v>19862</v>
      </c>
      <c r="K372" s="2" t="s">
        <v>97</v>
      </c>
      <c r="L372" s="3">
        <v>45804</v>
      </c>
      <c r="M372" s="2" t="s">
        <v>167</v>
      </c>
      <c r="N372" s="2">
        <v>932608.28</v>
      </c>
      <c r="O372" s="2" t="s">
        <v>24</v>
      </c>
      <c r="P372" t="str">
        <f>TEXT(Table1[[#This Row],[Transaction Date]],"mmm")</f>
        <v>May</v>
      </c>
    </row>
    <row r="373" spans="1:16" ht="15.75" customHeight="1" x14ac:dyDescent="0.3">
      <c r="A373" s="2" t="s">
        <v>831</v>
      </c>
      <c r="B373" s="2">
        <v>529371</v>
      </c>
      <c r="C373" s="2" t="s">
        <v>832</v>
      </c>
      <c r="D373" s="2">
        <v>696398414197</v>
      </c>
      <c r="E373" s="2" t="s">
        <v>34</v>
      </c>
      <c r="F373" s="2" t="s">
        <v>35</v>
      </c>
      <c r="G373" s="2" t="s">
        <v>36</v>
      </c>
      <c r="H373" s="2" t="s">
        <v>20</v>
      </c>
      <c r="I373" s="2" t="s">
        <v>37</v>
      </c>
      <c r="J373" s="2">
        <v>78464.289999999994</v>
      </c>
      <c r="K373" s="2" t="s">
        <v>38</v>
      </c>
      <c r="L373" s="3">
        <v>45176</v>
      </c>
      <c r="M373" s="2" t="s">
        <v>23</v>
      </c>
      <c r="N373" s="2">
        <v>1563610.66</v>
      </c>
      <c r="O373" s="2" t="s">
        <v>24</v>
      </c>
      <c r="P373" t="str">
        <f>TEXT(Table1[[#This Row],[Transaction Date]],"mmm")</f>
        <v>Sep</v>
      </c>
    </row>
    <row r="374" spans="1:16" ht="15.75" customHeight="1" x14ac:dyDescent="0.3">
      <c r="A374" s="2" t="s">
        <v>833</v>
      </c>
      <c r="B374" s="2">
        <v>990194</v>
      </c>
      <c r="C374" s="2" t="s">
        <v>834</v>
      </c>
      <c r="D374" s="2">
        <v>493757512103</v>
      </c>
      <c r="E374" s="2" t="s">
        <v>34</v>
      </c>
      <c r="F374" s="2" t="s">
        <v>59</v>
      </c>
      <c r="G374" s="2" t="s">
        <v>60</v>
      </c>
      <c r="H374" s="2" t="s">
        <v>69</v>
      </c>
      <c r="I374" s="2" t="s">
        <v>37</v>
      </c>
      <c r="J374" s="2">
        <v>142933.76999999999</v>
      </c>
      <c r="K374" s="2" t="s">
        <v>22</v>
      </c>
      <c r="L374" s="3">
        <v>45181</v>
      </c>
      <c r="M374" s="2" t="s">
        <v>23</v>
      </c>
      <c r="N374" s="2">
        <v>1697109.27</v>
      </c>
      <c r="O374" s="2" t="s">
        <v>24</v>
      </c>
      <c r="P374" t="str">
        <f>TEXT(Table1[[#This Row],[Transaction Date]],"mmm")</f>
        <v>Sep</v>
      </c>
    </row>
    <row r="375" spans="1:16" ht="15.75" customHeight="1" x14ac:dyDescent="0.3">
      <c r="A375" s="2" t="s">
        <v>835</v>
      </c>
      <c r="B375" s="2">
        <v>970064</v>
      </c>
      <c r="C375" s="2" t="s">
        <v>836</v>
      </c>
      <c r="D375" s="2">
        <v>653060642611</v>
      </c>
      <c r="E375" s="2" t="s">
        <v>34</v>
      </c>
      <c r="F375" s="2" t="s">
        <v>35</v>
      </c>
      <c r="G375" s="2" t="s">
        <v>36</v>
      </c>
      <c r="H375" s="2" t="s">
        <v>69</v>
      </c>
      <c r="I375" s="2" t="s">
        <v>52</v>
      </c>
      <c r="J375" s="2">
        <v>151050.63</v>
      </c>
      <c r="K375" s="2" t="s">
        <v>97</v>
      </c>
      <c r="L375" s="3">
        <v>45380</v>
      </c>
      <c r="M375" s="2" t="s">
        <v>112</v>
      </c>
      <c r="N375" s="2">
        <v>1211040.1100000001</v>
      </c>
      <c r="O375" s="2" t="s">
        <v>178</v>
      </c>
      <c r="P375" t="str">
        <f>TEXT(Table1[[#This Row],[Transaction Date]],"mmm")</f>
        <v>Mar</v>
      </c>
    </row>
    <row r="376" spans="1:16" ht="15.75" customHeight="1" x14ac:dyDescent="0.3">
      <c r="A376" s="2" t="s">
        <v>837</v>
      </c>
      <c r="B376" s="2">
        <v>466409</v>
      </c>
      <c r="C376" s="2" t="s">
        <v>838</v>
      </c>
      <c r="D376" s="2">
        <v>881453879458</v>
      </c>
      <c r="E376" s="2" t="s">
        <v>90</v>
      </c>
      <c r="F376" s="2" t="s">
        <v>91</v>
      </c>
      <c r="G376" s="2" t="s">
        <v>92</v>
      </c>
      <c r="H376" s="2" t="s">
        <v>69</v>
      </c>
      <c r="I376" s="2" t="s">
        <v>21</v>
      </c>
      <c r="J376" s="2">
        <v>87369.06</v>
      </c>
      <c r="K376" s="2" t="s">
        <v>38</v>
      </c>
      <c r="L376" s="3">
        <v>45726</v>
      </c>
      <c r="M376" s="2" t="s">
        <v>23</v>
      </c>
      <c r="N376" s="2">
        <v>523219.45</v>
      </c>
      <c r="O376" s="2" t="s">
        <v>24</v>
      </c>
      <c r="P376" t="str">
        <f>TEXT(Table1[[#This Row],[Transaction Date]],"mmm")</f>
        <v>Mar</v>
      </c>
    </row>
    <row r="377" spans="1:16" ht="15.75" customHeight="1" x14ac:dyDescent="0.3">
      <c r="A377" s="2" t="s">
        <v>839</v>
      </c>
      <c r="B377" s="2">
        <v>691233</v>
      </c>
      <c r="C377" s="2" t="s">
        <v>840</v>
      </c>
      <c r="D377" s="2">
        <v>591674302857</v>
      </c>
      <c r="E377" s="2" t="s">
        <v>63</v>
      </c>
      <c r="F377" s="2" t="s">
        <v>176</v>
      </c>
      <c r="G377" s="2" t="s">
        <v>177</v>
      </c>
      <c r="H377" s="2" t="s">
        <v>30</v>
      </c>
      <c r="I377" s="2" t="s">
        <v>21</v>
      </c>
      <c r="J377" s="2">
        <v>466117.12</v>
      </c>
      <c r="K377" s="2" t="s">
        <v>48</v>
      </c>
      <c r="L377" s="3">
        <v>45665</v>
      </c>
      <c r="M377" s="2" t="s">
        <v>23</v>
      </c>
      <c r="N377" s="2">
        <v>559077.69999999995</v>
      </c>
      <c r="O377" s="2" t="s">
        <v>24</v>
      </c>
      <c r="P377" t="str">
        <f>TEXT(Table1[[#This Row],[Transaction Date]],"mmm")</f>
        <v>Jan</v>
      </c>
    </row>
    <row r="378" spans="1:16" ht="15.75" customHeight="1" x14ac:dyDescent="0.3">
      <c r="A378" s="2" t="s">
        <v>841</v>
      </c>
      <c r="B378" s="2">
        <v>923020</v>
      </c>
      <c r="C378" s="2" t="s">
        <v>842</v>
      </c>
      <c r="D378" s="2">
        <v>989318539943</v>
      </c>
      <c r="E378" s="2" t="s">
        <v>27</v>
      </c>
      <c r="F378" s="2" t="s">
        <v>215</v>
      </c>
      <c r="G378" s="2" t="s">
        <v>216</v>
      </c>
      <c r="H378" s="2" t="s">
        <v>69</v>
      </c>
      <c r="I378" s="2" t="s">
        <v>52</v>
      </c>
      <c r="J378" s="2">
        <v>352951.84</v>
      </c>
      <c r="K378" s="2" t="s">
        <v>22</v>
      </c>
      <c r="L378" s="3">
        <v>45612</v>
      </c>
      <c r="M378" s="2" t="s">
        <v>49</v>
      </c>
      <c r="N378" s="2">
        <v>1563217.64</v>
      </c>
      <c r="O378" s="2" t="s">
        <v>24</v>
      </c>
      <c r="P378" t="str">
        <f>TEXT(Table1[[#This Row],[Transaction Date]],"mmm")</f>
        <v>Nov</v>
      </c>
    </row>
    <row r="379" spans="1:16" ht="15.75" customHeight="1" x14ac:dyDescent="0.3">
      <c r="A379" s="2" t="s">
        <v>843</v>
      </c>
      <c r="B379" s="2">
        <v>690626</v>
      </c>
      <c r="C379" s="2" t="s">
        <v>844</v>
      </c>
      <c r="D379" s="2">
        <v>223709347082</v>
      </c>
      <c r="E379" s="2" t="s">
        <v>63</v>
      </c>
      <c r="F379" s="2" t="s">
        <v>64</v>
      </c>
      <c r="G379" s="2" t="s">
        <v>65</v>
      </c>
      <c r="H379" s="2" t="s">
        <v>66</v>
      </c>
      <c r="I379" s="2" t="s">
        <v>47</v>
      </c>
      <c r="J379" s="2">
        <v>119830.79</v>
      </c>
      <c r="K379" s="2" t="s">
        <v>48</v>
      </c>
      <c r="L379" s="3">
        <v>45241</v>
      </c>
      <c r="M379" s="2" t="s">
        <v>23</v>
      </c>
      <c r="N379" s="2">
        <v>1196217.07</v>
      </c>
      <c r="O379" s="2" t="s">
        <v>24</v>
      </c>
      <c r="P379" t="str">
        <f>TEXT(Table1[[#This Row],[Transaction Date]],"mmm")</f>
        <v>Nov</v>
      </c>
    </row>
    <row r="380" spans="1:16" ht="15.75" customHeight="1" x14ac:dyDescent="0.3">
      <c r="A380" s="2" t="s">
        <v>845</v>
      </c>
      <c r="B380" s="2">
        <v>459550</v>
      </c>
      <c r="C380" s="2" t="s">
        <v>846</v>
      </c>
      <c r="D380" s="2">
        <v>798399336730</v>
      </c>
      <c r="E380" s="2" t="s">
        <v>34</v>
      </c>
      <c r="F380" s="2" t="s">
        <v>59</v>
      </c>
      <c r="G380" s="2" t="s">
        <v>60</v>
      </c>
      <c r="H380" s="2" t="s">
        <v>30</v>
      </c>
      <c r="I380" s="2" t="s">
        <v>52</v>
      </c>
      <c r="J380" s="2">
        <v>186576.31</v>
      </c>
      <c r="K380" s="2" t="s">
        <v>48</v>
      </c>
      <c r="L380" s="3">
        <v>45294</v>
      </c>
      <c r="M380" s="2" t="s">
        <v>23</v>
      </c>
      <c r="N380" s="2">
        <v>2009292.64</v>
      </c>
      <c r="O380" s="2" t="s">
        <v>24</v>
      </c>
      <c r="P380" t="str">
        <f>TEXT(Table1[[#This Row],[Transaction Date]],"mmm")</f>
        <v>Jan</v>
      </c>
    </row>
    <row r="381" spans="1:16" ht="15.75" customHeight="1" x14ac:dyDescent="0.3">
      <c r="A381" s="2" t="s">
        <v>847</v>
      </c>
      <c r="B381" s="2">
        <v>954780</v>
      </c>
      <c r="C381" s="2" t="s">
        <v>848</v>
      </c>
      <c r="D381" s="2">
        <v>791330814917</v>
      </c>
      <c r="E381" s="2" t="s">
        <v>17</v>
      </c>
      <c r="F381" s="2" t="s">
        <v>155</v>
      </c>
      <c r="G381" s="2" t="s">
        <v>156</v>
      </c>
      <c r="H381" s="2" t="s">
        <v>30</v>
      </c>
      <c r="I381" s="2" t="s">
        <v>47</v>
      </c>
      <c r="J381" s="2">
        <v>189202.98</v>
      </c>
      <c r="K381" s="2" t="s">
        <v>22</v>
      </c>
      <c r="L381" s="3">
        <v>45787</v>
      </c>
      <c r="M381" s="2" t="s">
        <v>23</v>
      </c>
      <c r="N381" s="2">
        <v>1137529.71</v>
      </c>
      <c r="O381" s="2" t="s">
        <v>24</v>
      </c>
      <c r="P381" t="str">
        <f>TEXT(Table1[[#This Row],[Transaction Date]],"mmm")</f>
        <v>May</v>
      </c>
    </row>
    <row r="382" spans="1:16" ht="15.75" customHeight="1" x14ac:dyDescent="0.3">
      <c r="A382" s="2" t="s">
        <v>849</v>
      </c>
      <c r="B382" s="2">
        <v>171459</v>
      </c>
      <c r="C382" s="2" t="s">
        <v>850</v>
      </c>
      <c r="D382" s="2">
        <v>135190882700</v>
      </c>
      <c r="E382" s="2" t="s">
        <v>17</v>
      </c>
      <c r="F382" s="2" t="s">
        <v>18</v>
      </c>
      <c r="G382" s="2" t="s">
        <v>19</v>
      </c>
      <c r="H382" s="2" t="s">
        <v>20</v>
      </c>
      <c r="I382" s="2" t="s">
        <v>47</v>
      </c>
      <c r="J382" s="2">
        <v>102192.65</v>
      </c>
      <c r="K382" s="2" t="s">
        <v>48</v>
      </c>
      <c r="L382" s="3">
        <v>45237</v>
      </c>
      <c r="M382" s="2" t="s">
        <v>23</v>
      </c>
      <c r="N382" s="2">
        <v>564240.30999999994</v>
      </c>
      <c r="O382" s="2" t="s">
        <v>24</v>
      </c>
      <c r="P382" t="str">
        <f>TEXT(Table1[[#This Row],[Transaction Date]],"mmm")</f>
        <v>Nov</v>
      </c>
    </row>
    <row r="383" spans="1:16" ht="15.75" customHeight="1" x14ac:dyDescent="0.3">
      <c r="A383" s="2" t="s">
        <v>851</v>
      </c>
      <c r="B383" s="2">
        <v>568881</v>
      </c>
      <c r="C383" s="2" t="s">
        <v>852</v>
      </c>
      <c r="D383" s="2">
        <v>470200000951</v>
      </c>
      <c r="E383" s="2" t="s">
        <v>17</v>
      </c>
      <c r="F383" s="2" t="s">
        <v>18</v>
      </c>
      <c r="G383" s="2" t="s">
        <v>19</v>
      </c>
      <c r="H383" s="2" t="s">
        <v>20</v>
      </c>
      <c r="I383" s="2" t="s">
        <v>37</v>
      </c>
      <c r="J383" s="2">
        <v>20767.88</v>
      </c>
      <c r="K383" s="2" t="s">
        <v>31</v>
      </c>
      <c r="L383" s="3">
        <v>45449</v>
      </c>
      <c r="M383" s="2" t="s">
        <v>23</v>
      </c>
      <c r="N383" s="2">
        <v>1654884.72</v>
      </c>
      <c r="O383" s="2" t="s">
        <v>24</v>
      </c>
      <c r="P383" t="str">
        <f>TEXT(Table1[[#This Row],[Transaction Date]],"mmm")</f>
        <v>Jun</v>
      </c>
    </row>
    <row r="384" spans="1:16" ht="15.75" customHeight="1" x14ac:dyDescent="0.3">
      <c r="A384" s="2" t="s">
        <v>853</v>
      </c>
      <c r="B384" s="2">
        <v>179714</v>
      </c>
      <c r="C384" s="2" t="s">
        <v>854</v>
      </c>
      <c r="D384" s="2">
        <v>501001062311</v>
      </c>
      <c r="E384" s="2" t="s">
        <v>34</v>
      </c>
      <c r="F384" s="2" t="s">
        <v>41</v>
      </c>
      <c r="G384" s="2" t="s">
        <v>42</v>
      </c>
      <c r="H384" s="2" t="s">
        <v>30</v>
      </c>
      <c r="I384" s="2" t="s">
        <v>37</v>
      </c>
      <c r="J384" s="2">
        <v>84312.88</v>
      </c>
      <c r="K384" s="2" t="s">
        <v>48</v>
      </c>
      <c r="L384" s="3">
        <v>45697</v>
      </c>
      <c r="M384" s="2" t="s">
        <v>23</v>
      </c>
      <c r="N384" s="2">
        <v>812688.42</v>
      </c>
      <c r="O384" s="2" t="s">
        <v>24</v>
      </c>
      <c r="P384" t="str">
        <f>TEXT(Table1[[#This Row],[Transaction Date]],"mmm")</f>
        <v>Feb</v>
      </c>
    </row>
    <row r="385" spans="1:16" ht="15.75" customHeight="1" x14ac:dyDescent="0.3">
      <c r="A385" s="2" t="s">
        <v>855</v>
      </c>
      <c r="B385" s="2">
        <v>507234</v>
      </c>
      <c r="C385" s="2" t="s">
        <v>856</v>
      </c>
      <c r="D385" s="2">
        <v>878851872657</v>
      </c>
      <c r="E385" s="2" t="s">
        <v>90</v>
      </c>
      <c r="F385" s="2" t="s">
        <v>108</v>
      </c>
      <c r="G385" s="2" t="s">
        <v>109</v>
      </c>
      <c r="H385" s="2" t="s">
        <v>66</v>
      </c>
      <c r="I385" s="2" t="s">
        <v>21</v>
      </c>
      <c r="J385" s="2">
        <v>50275.6</v>
      </c>
      <c r="K385" s="2" t="s">
        <v>48</v>
      </c>
      <c r="L385" s="3">
        <v>45168</v>
      </c>
      <c r="M385" s="2" t="s">
        <v>23</v>
      </c>
      <c r="N385" s="2">
        <v>957657.80999999994</v>
      </c>
      <c r="O385" s="2" t="s">
        <v>24</v>
      </c>
      <c r="P385" t="str">
        <f>TEXT(Table1[[#This Row],[Transaction Date]],"mmm")</f>
        <v>Aug</v>
      </c>
    </row>
    <row r="386" spans="1:16" ht="15.75" customHeight="1" x14ac:dyDescent="0.3">
      <c r="A386" s="2" t="s">
        <v>857</v>
      </c>
      <c r="B386" s="2">
        <v>943899</v>
      </c>
      <c r="C386" s="2" t="s">
        <v>858</v>
      </c>
      <c r="D386" s="2">
        <v>474125754877</v>
      </c>
      <c r="E386" s="2" t="s">
        <v>90</v>
      </c>
      <c r="F386" s="2" t="s">
        <v>104</v>
      </c>
      <c r="G386" s="2" t="s">
        <v>105</v>
      </c>
      <c r="H386" s="2" t="s">
        <v>30</v>
      </c>
      <c r="I386" s="2" t="s">
        <v>21</v>
      </c>
      <c r="J386" s="2">
        <v>59673.87</v>
      </c>
      <c r="K386" s="2" t="s">
        <v>97</v>
      </c>
      <c r="L386" s="3">
        <v>45415</v>
      </c>
      <c r="M386" s="2" t="s">
        <v>23</v>
      </c>
      <c r="N386" s="2">
        <v>2031243.6</v>
      </c>
      <c r="O386" s="2" t="s">
        <v>24</v>
      </c>
      <c r="P386" t="str">
        <f>TEXT(Table1[[#This Row],[Transaction Date]],"mmm")</f>
        <v>May</v>
      </c>
    </row>
    <row r="387" spans="1:16" ht="15.75" customHeight="1" x14ac:dyDescent="0.3">
      <c r="A387" s="2" t="s">
        <v>859</v>
      </c>
      <c r="B387" s="2">
        <v>722523</v>
      </c>
      <c r="C387" s="2" t="s">
        <v>860</v>
      </c>
      <c r="D387" s="2">
        <v>498653114225</v>
      </c>
      <c r="E387" s="2" t="s">
        <v>17</v>
      </c>
      <c r="F387" s="2" t="s">
        <v>86</v>
      </c>
      <c r="G387" s="2" t="s">
        <v>87</v>
      </c>
      <c r="H387" s="2" t="s">
        <v>30</v>
      </c>
      <c r="I387" s="2" t="s">
        <v>21</v>
      </c>
      <c r="J387" s="2">
        <v>332407.67</v>
      </c>
      <c r="K387" s="2" t="s">
        <v>48</v>
      </c>
      <c r="L387" s="3">
        <v>45616</v>
      </c>
      <c r="M387" s="2" t="s">
        <v>23</v>
      </c>
      <c r="N387" s="2">
        <v>455920.87</v>
      </c>
      <c r="O387" s="2" t="s">
        <v>24</v>
      </c>
      <c r="P387" t="str">
        <f>TEXT(Table1[[#This Row],[Transaction Date]],"mmm")</f>
        <v>Nov</v>
      </c>
    </row>
    <row r="388" spans="1:16" ht="15.75" customHeight="1" x14ac:dyDescent="0.3">
      <c r="A388" s="2" t="s">
        <v>861</v>
      </c>
      <c r="B388" s="2">
        <v>427315</v>
      </c>
      <c r="C388" s="2" t="s">
        <v>862</v>
      </c>
      <c r="D388" s="2">
        <v>638707911830</v>
      </c>
      <c r="E388" s="2" t="s">
        <v>17</v>
      </c>
      <c r="F388" s="2" t="s">
        <v>45</v>
      </c>
      <c r="G388" s="2" t="s">
        <v>46</v>
      </c>
      <c r="H388" s="2" t="s">
        <v>20</v>
      </c>
      <c r="I388" s="2" t="s">
        <v>52</v>
      </c>
      <c r="J388" s="2">
        <v>350133.78</v>
      </c>
      <c r="K388" s="2" t="s">
        <v>97</v>
      </c>
      <c r="L388" s="3">
        <v>45690</v>
      </c>
      <c r="M388" s="2" t="s">
        <v>23</v>
      </c>
      <c r="N388" s="2">
        <v>1597588.23</v>
      </c>
      <c r="O388" s="2" t="s">
        <v>24</v>
      </c>
      <c r="P388" t="str">
        <f>TEXT(Table1[[#This Row],[Transaction Date]],"mmm")</f>
        <v>Feb</v>
      </c>
    </row>
    <row r="389" spans="1:16" ht="15.75" customHeight="1" x14ac:dyDescent="0.3">
      <c r="A389" s="2" t="s">
        <v>863</v>
      </c>
      <c r="B389" s="2">
        <v>528399</v>
      </c>
      <c r="C389" s="2" t="s">
        <v>864</v>
      </c>
      <c r="D389" s="2">
        <v>255848490692</v>
      </c>
      <c r="E389" s="2" t="s">
        <v>63</v>
      </c>
      <c r="F389" s="2" t="s">
        <v>82</v>
      </c>
      <c r="G389" s="2" t="s">
        <v>83</v>
      </c>
      <c r="H389" s="2" t="s">
        <v>69</v>
      </c>
      <c r="I389" s="2" t="s">
        <v>37</v>
      </c>
      <c r="J389" s="2">
        <v>23309.68</v>
      </c>
      <c r="K389" s="2" t="s">
        <v>97</v>
      </c>
      <c r="L389" s="3">
        <v>45632</v>
      </c>
      <c r="M389" s="2" t="s">
        <v>23</v>
      </c>
      <c r="N389" s="2">
        <v>1385627.33</v>
      </c>
      <c r="O389" s="2" t="s">
        <v>24</v>
      </c>
      <c r="P389" t="str">
        <f>TEXT(Table1[[#This Row],[Transaction Date]],"mmm")</f>
        <v>Dec</v>
      </c>
    </row>
    <row r="390" spans="1:16" ht="15.75" customHeight="1" x14ac:dyDescent="0.3">
      <c r="A390" s="2" t="s">
        <v>865</v>
      </c>
      <c r="B390" s="2">
        <v>464910</v>
      </c>
      <c r="C390" s="2" t="s">
        <v>866</v>
      </c>
      <c r="D390" s="2">
        <v>539041777767</v>
      </c>
      <c r="E390" s="2" t="s">
        <v>34</v>
      </c>
      <c r="F390" s="2" t="s">
        <v>35</v>
      </c>
      <c r="G390" s="2" t="s">
        <v>36</v>
      </c>
      <c r="H390" s="2" t="s">
        <v>30</v>
      </c>
      <c r="I390" s="2" t="s">
        <v>47</v>
      </c>
      <c r="J390" s="2">
        <v>286156.07</v>
      </c>
      <c r="K390" s="2" t="s">
        <v>31</v>
      </c>
      <c r="L390" s="3">
        <v>45548</v>
      </c>
      <c r="M390" s="2" t="s">
        <v>112</v>
      </c>
      <c r="N390" s="2">
        <v>563593.56000000006</v>
      </c>
      <c r="O390" s="2" t="s">
        <v>24</v>
      </c>
      <c r="P390" t="str">
        <f>TEXT(Table1[[#This Row],[Transaction Date]],"mmm")</f>
        <v>Sep</v>
      </c>
    </row>
    <row r="391" spans="1:16" ht="15.75" customHeight="1" x14ac:dyDescent="0.3">
      <c r="A391" s="2" t="s">
        <v>867</v>
      </c>
      <c r="B391" s="2">
        <v>524813</v>
      </c>
      <c r="C391" s="2" t="s">
        <v>868</v>
      </c>
      <c r="D391" s="2">
        <v>845243604313</v>
      </c>
      <c r="E391" s="2" t="s">
        <v>90</v>
      </c>
      <c r="F391" s="2" t="s">
        <v>161</v>
      </c>
      <c r="G391" s="2" t="s">
        <v>162</v>
      </c>
      <c r="H391" s="2" t="s">
        <v>69</v>
      </c>
      <c r="I391" s="2" t="s">
        <v>21</v>
      </c>
      <c r="J391" s="2">
        <v>363834.7</v>
      </c>
      <c r="K391" s="2" t="s">
        <v>31</v>
      </c>
      <c r="L391" s="3">
        <v>45172</v>
      </c>
      <c r="M391" s="2" t="s">
        <v>23</v>
      </c>
      <c r="N391" s="2">
        <v>1065625.76</v>
      </c>
      <c r="O391" s="2" t="s">
        <v>24</v>
      </c>
      <c r="P391" t="str">
        <f>TEXT(Table1[[#This Row],[Transaction Date]],"mmm")</f>
        <v>Sep</v>
      </c>
    </row>
    <row r="392" spans="1:16" ht="15.75" customHeight="1" x14ac:dyDescent="0.3">
      <c r="A392" s="2" t="s">
        <v>869</v>
      </c>
      <c r="B392" s="2">
        <v>530475</v>
      </c>
      <c r="C392" s="2" t="s">
        <v>870</v>
      </c>
      <c r="D392" s="2">
        <v>810813549197</v>
      </c>
      <c r="E392" s="2" t="s">
        <v>27</v>
      </c>
      <c r="F392" s="2" t="s">
        <v>215</v>
      </c>
      <c r="G392" s="2" t="s">
        <v>216</v>
      </c>
      <c r="H392" s="2" t="s">
        <v>30</v>
      </c>
      <c r="I392" s="2" t="s">
        <v>21</v>
      </c>
      <c r="J392" s="2">
        <v>138404.46</v>
      </c>
      <c r="K392" s="2" t="s">
        <v>48</v>
      </c>
      <c r="L392" s="3">
        <v>45215</v>
      </c>
      <c r="M392" s="2" t="s">
        <v>23</v>
      </c>
      <c r="N392" s="2">
        <v>254646.03</v>
      </c>
      <c r="O392" s="2" t="s">
        <v>24</v>
      </c>
      <c r="P392" t="str">
        <f>TEXT(Table1[[#This Row],[Transaction Date]],"mmm")</f>
        <v>Oct</v>
      </c>
    </row>
    <row r="393" spans="1:16" ht="15.75" customHeight="1" x14ac:dyDescent="0.3">
      <c r="A393" s="2" t="s">
        <v>871</v>
      </c>
      <c r="B393" s="2">
        <v>842079</v>
      </c>
      <c r="C393" s="2" t="s">
        <v>872</v>
      </c>
      <c r="D393" s="2">
        <v>185744473826</v>
      </c>
      <c r="E393" s="2" t="s">
        <v>90</v>
      </c>
      <c r="F393" s="2" t="s">
        <v>91</v>
      </c>
      <c r="G393" s="2" t="s">
        <v>92</v>
      </c>
      <c r="H393" s="2" t="s">
        <v>66</v>
      </c>
      <c r="I393" s="2" t="s">
        <v>52</v>
      </c>
      <c r="J393" s="2">
        <v>174088.39</v>
      </c>
      <c r="K393" s="2" t="s">
        <v>97</v>
      </c>
      <c r="L393" s="3">
        <v>45576</v>
      </c>
      <c r="M393" s="2" t="s">
        <v>23</v>
      </c>
      <c r="N393" s="2">
        <v>913093.72</v>
      </c>
      <c r="O393" s="2" t="s">
        <v>24</v>
      </c>
      <c r="P393" t="str">
        <f>TEXT(Table1[[#This Row],[Transaction Date]],"mmm")</f>
        <v>Oct</v>
      </c>
    </row>
    <row r="394" spans="1:16" ht="15.75" customHeight="1" x14ac:dyDescent="0.3">
      <c r="A394" s="2" t="s">
        <v>873</v>
      </c>
      <c r="B394" s="2">
        <v>316483</v>
      </c>
      <c r="C394" s="2" t="s">
        <v>874</v>
      </c>
      <c r="D394" s="2">
        <v>370264472621</v>
      </c>
      <c r="E394" s="2" t="s">
        <v>63</v>
      </c>
      <c r="F394" s="2" t="s">
        <v>176</v>
      </c>
      <c r="G394" s="2" t="s">
        <v>177</v>
      </c>
      <c r="H394" s="2" t="s">
        <v>20</v>
      </c>
      <c r="I394" s="2" t="s">
        <v>52</v>
      </c>
      <c r="J394" s="2">
        <v>17664.689999999999</v>
      </c>
      <c r="K394" s="2" t="s">
        <v>48</v>
      </c>
      <c r="L394" s="3">
        <v>45768</v>
      </c>
      <c r="M394" s="2" t="s">
        <v>23</v>
      </c>
      <c r="N394" s="2">
        <v>192599.89</v>
      </c>
      <c r="O394" s="2" t="s">
        <v>24</v>
      </c>
      <c r="P394" t="str">
        <f>TEXT(Table1[[#This Row],[Transaction Date]],"mmm")</f>
        <v>Apr</v>
      </c>
    </row>
    <row r="395" spans="1:16" ht="15.75" customHeight="1" x14ac:dyDescent="0.3">
      <c r="A395" s="2" t="s">
        <v>875</v>
      </c>
      <c r="B395" s="2">
        <v>167811</v>
      </c>
      <c r="C395" s="2" t="s">
        <v>876</v>
      </c>
      <c r="D395" s="2">
        <v>268731699044</v>
      </c>
      <c r="E395" s="2" t="s">
        <v>90</v>
      </c>
      <c r="F395" s="2" t="s">
        <v>129</v>
      </c>
      <c r="G395" s="2" t="s">
        <v>130</v>
      </c>
      <c r="H395" s="2" t="s">
        <v>66</v>
      </c>
      <c r="I395" s="2" t="s">
        <v>52</v>
      </c>
      <c r="J395" s="2">
        <v>35630.32</v>
      </c>
      <c r="K395" s="2" t="s">
        <v>22</v>
      </c>
      <c r="L395" s="3">
        <v>45199</v>
      </c>
      <c r="M395" s="2" t="s">
        <v>23</v>
      </c>
      <c r="N395" s="2">
        <v>972098.69</v>
      </c>
      <c r="O395" s="2" t="s">
        <v>24</v>
      </c>
      <c r="P395" t="str">
        <f>TEXT(Table1[[#This Row],[Transaction Date]],"mmm")</f>
        <v>Sep</v>
      </c>
    </row>
    <row r="396" spans="1:16" ht="15.75" customHeight="1" x14ac:dyDescent="0.3">
      <c r="A396" s="2" t="s">
        <v>877</v>
      </c>
      <c r="B396" s="2">
        <v>734296</v>
      </c>
      <c r="C396" s="2" t="s">
        <v>878</v>
      </c>
      <c r="D396" s="2">
        <v>929691446167</v>
      </c>
      <c r="E396" s="2" t="s">
        <v>17</v>
      </c>
      <c r="F396" s="2" t="s">
        <v>18</v>
      </c>
      <c r="G396" s="2" t="s">
        <v>19</v>
      </c>
      <c r="H396" s="2" t="s">
        <v>66</v>
      </c>
      <c r="I396" s="2" t="s">
        <v>52</v>
      </c>
      <c r="J396" s="2">
        <v>373735.38</v>
      </c>
      <c r="K396" s="2" t="s">
        <v>48</v>
      </c>
      <c r="L396" s="3">
        <v>45400</v>
      </c>
      <c r="M396" s="2" t="s">
        <v>23</v>
      </c>
      <c r="N396" s="2">
        <v>562280.92000000004</v>
      </c>
      <c r="O396" s="2" t="s">
        <v>24</v>
      </c>
      <c r="P396" t="str">
        <f>TEXT(Table1[[#This Row],[Transaction Date]],"mmm")</f>
        <v>Apr</v>
      </c>
    </row>
    <row r="397" spans="1:16" ht="15.75" customHeight="1" x14ac:dyDescent="0.3">
      <c r="A397" s="2" t="s">
        <v>879</v>
      </c>
      <c r="B397" s="2">
        <v>807933</v>
      </c>
      <c r="C397" s="2" t="s">
        <v>880</v>
      </c>
      <c r="D397" s="2">
        <v>137391799979</v>
      </c>
      <c r="E397" s="2" t="s">
        <v>34</v>
      </c>
      <c r="F397" s="2" t="s">
        <v>72</v>
      </c>
      <c r="G397" s="2" t="s">
        <v>73</v>
      </c>
      <c r="H397" s="2" t="s">
        <v>20</v>
      </c>
      <c r="I397" s="2" t="s">
        <v>47</v>
      </c>
      <c r="J397" s="2">
        <v>274709.48</v>
      </c>
      <c r="K397" s="2" t="s">
        <v>48</v>
      </c>
      <c r="L397" s="3">
        <v>45665</v>
      </c>
      <c r="M397" s="2" t="s">
        <v>23</v>
      </c>
      <c r="N397" s="2">
        <v>827374.07999999996</v>
      </c>
      <c r="O397" s="2" t="s">
        <v>24</v>
      </c>
      <c r="P397" t="str">
        <f>TEXT(Table1[[#This Row],[Transaction Date]],"mmm")</f>
        <v>Jan</v>
      </c>
    </row>
    <row r="398" spans="1:16" ht="15.75" customHeight="1" x14ac:dyDescent="0.3">
      <c r="A398" s="2" t="s">
        <v>881</v>
      </c>
      <c r="B398" s="2">
        <v>595797</v>
      </c>
      <c r="C398" s="2" t="s">
        <v>882</v>
      </c>
      <c r="D398" s="2">
        <v>206574366417</v>
      </c>
      <c r="E398" s="2" t="s">
        <v>63</v>
      </c>
      <c r="F398" s="2" t="s">
        <v>165</v>
      </c>
      <c r="G398" s="2" t="s">
        <v>166</v>
      </c>
      <c r="H398" s="2" t="s">
        <v>30</v>
      </c>
      <c r="I398" s="2" t="s">
        <v>37</v>
      </c>
      <c r="J398" s="2">
        <v>47207.39</v>
      </c>
      <c r="K398" s="2" t="s">
        <v>31</v>
      </c>
      <c r="L398" s="3">
        <v>45681</v>
      </c>
      <c r="M398" s="2" t="s">
        <v>23</v>
      </c>
      <c r="N398" s="2">
        <v>1330535.8400000001</v>
      </c>
      <c r="O398" s="2" t="s">
        <v>24</v>
      </c>
      <c r="P398" t="str">
        <f>TEXT(Table1[[#This Row],[Transaction Date]],"mmm")</f>
        <v>Jan</v>
      </c>
    </row>
    <row r="399" spans="1:16" ht="15.75" customHeight="1" x14ac:dyDescent="0.3">
      <c r="A399" s="2" t="s">
        <v>883</v>
      </c>
      <c r="B399" s="2">
        <v>638327</v>
      </c>
      <c r="C399" s="2" t="s">
        <v>884</v>
      </c>
      <c r="D399" s="2">
        <v>886848235656</v>
      </c>
      <c r="E399" s="2" t="s">
        <v>63</v>
      </c>
      <c r="F399" s="2" t="s">
        <v>145</v>
      </c>
      <c r="G399" s="2" t="s">
        <v>146</v>
      </c>
      <c r="H399" s="2" t="s">
        <v>20</v>
      </c>
      <c r="I399" s="2" t="s">
        <v>47</v>
      </c>
      <c r="J399" s="2">
        <v>53920.36</v>
      </c>
      <c r="K399" s="2" t="s">
        <v>48</v>
      </c>
      <c r="L399" s="3">
        <v>45347</v>
      </c>
      <c r="M399" s="2" t="s">
        <v>23</v>
      </c>
      <c r="N399" s="2">
        <v>557423.14</v>
      </c>
      <c r="O399" s="2" t="s">
        <v>24</v>
      </c>
      <c r="P399" t="str">
        <f>TEXT(Table1[[#This Row],[Transaction Date]],"mmm")</f>
        <v>Feb</v>
      </c>
    </row>
    <row r="400" spans="1:16" ht="15.75" customHeight="1" x14ac:dyDescent="0.3">
      <c r="A400" s="2" t="s">
        <v>885</v>
      </c>
      <c r="B400" s="2">
        <v>154017</v>
      </c>
      <c r="C400" s="2" t="s">
        <v>886</v>
      </c>
      <c r="D400" s="2">
        <v>399275894137</v>
      </c>
      <c r="E400" s="2" t="s">
        <v>63</v>
      </c>
      <c r="F400" s="2" t="s">
        <v>145</v>
      </c>
      <c r="G400" s="2" t="s">
        <v>146</v>
      </c>
      <c r="H400" s="2" t="s">
        <v>30</v>
      </c>
      <c r="I400" s="2" t="s">
        <v>47</v>
      </c>
      <c r="J400" s="2">
        <v>10220.280000000001</v>
      </c>
      <c r="K400" s="2" t="s">
        <v>97</v>
      </c>
      <c r="L400" s="3">
        <v>45279</v>
      </c>
      <c r="M400" s="2" t="s">
        <v>23</v>
      </c>
      <c r="N400" s="2">
        <v>1490511.61</v>
      </c>
      <c r="O400" s="2" t="s">
        <v>24</v>
      </c>
      <c r="P400" t="str">
        <f>TEXT(Table1[[#This Row],[Transaction Date]],"mmm")</f>
        <v>Dec</v>
      </c>
    </row>
    <row r="401" spans="1:16" ht="15.75" customHeight="1" x14ac:dyDescent="0.3">
      <c r="A401" s="2" t="s">
        <v>887</v>
      </c>
      <c r="B401" s="2">
        <v>764808</v>
      </c>
      <c r="C401" s="2" t="s">
        <v>888</v>
      </c>
      <c r="D401" s="2">
        <v>790847728908</v>
      </c>
      <c r="E401" s="2" t="s">
        <v>90</v>
      </c>
      <c r="F401" s="2" t="s">
        <v>104</v>
      </c>
      <c r="G401" s="2" t="s">
        <v>105</v>
      </c>
      <c r="H401" s="2" t="s">
        <v>20</v>
      </c>
      <c r="I401" s="2" t="s">
        <v>47</v>
      </c>
      <c r="J401" s="2">
        <v>206210.04</v>
      </c>
      <c r="K401" s="2" t="s">
        <v>48</v>
      </c>
      <c r="L401" s="3">
        <v>45685</v>
      </c>
      <c r="M401" s="2" t="s">
        <v>23</v>
      </c>
      <c r="N401" s="2">
        <v>2094313.48</v>
      </c>
      <c r="O401" s="2" t="s">
        <v>24</v>
      </c>
      <c r="P401" t="str">
        <f>TEXT(Table1[[#This Row],[Transaction Date]],"mmm")</f>
        <v>Jan</v>
      </c>
    </row>
    <row r="402" spans="1:16" ht="15.75" customHeight="1" x14ac:dyDescent="0.3">
      <c r="A402" s="2" t="s">
        <v>889</v>
      </c>
      <c r="B402" s="2">
        <v>423000</v>
      </c>
      <c r="C402" s="2" t="s">
        <v>890</v>
      </c>
      <c r="D402" s="2">
        <v>920735094027</v>
      </c>
      <c r="E402" s="2" t="s">
        <v>63</v>
      </c>
      <c r="F402" s="2" t="s">
        <v>176</v>
      </c>
      <c r="G402" s="2" t="s">
        <v>177</v>
      </c>
      <c r="H402" s="2" t="s">
        <v>20</v>
      </c>
      <c r="I402" s="2" t="s">
        <v>47</v>
      </c>
      <c r="J402" s="2">
        <v>215474.39</v>
      </c>
      <c r="K402" s="2" t="s">
        <v>38</v>
      </c>
      <c r="L402" s="3">
        <v>45573</v>
      </c>
      <c r="M402" s="2" t="s">
        <v>23</v>
      </c>
      <c r="N402" s="2">
        <v>1178451.6100000001</v>
      </c>
      <c r="O402" s="2" t="s">
        <v>24</v>
      </c>
      <c r="P402" t="str">
        <f>TEXT(Table1[[#This Row],[Transaction Date]],"mmm")</f>
        <v>Oct</v>
      </c>
    </row>
    <row r="403" spans="1:16" ht="15.75" customHeight="1" x14ac:dyDescent="0.3">
      <c r="A403" s="2" t="s">
        <v>891</v>
      </c>
      <c r="B403" s="2">
        <v>130377</v>
      </c>
      <c r="C403" s="2" t="s">
        <v>892</v>
      </c>
      <c r="D403" s="2">
        <v>985849548224</v>
      </c>
      <c r="E403" s="2" t="s">
        <v>34</v>
      </c>
      <c r="F403" s="2" t="s">
        <v>72</v>
      </c>
      <c r="G403" s="2" t="s">
        <v>73</v>
      </c>
      <c r="H403" s="2" t="s">
        <v>66</v>
      </c>
      <c r="I403" s="2" t="s">
        <v>47</v>
      </c>
      <c r="J403" s="2">
        <v>70527.759999999995</v>
      </c>
      <c r="K403" s="2" t="s">
        <v>31</v>
      </c>
      <c r="L403" s="3">
        <v>45541</v>
      </c>
      <c r="M403" s="2" t="s">
        <v>23</v>
      </c>
      <c r="N403" s="2">
        <v>379125.15</v>
      </c>
      <c r="O403" s="2" t="s">
        <v>24</v>
      </c>
      <c r="P403" t="str">
        <f>TEXT(Table1[[#This Row],[Transaction Date]],"mmm")</f>
        <v>Sep</v>
      </c>
    </row>
    <row r="404" spans="1:16" ht="15.75" customHeight="1" x14ac:dyDescent="0.3">
      <c r="A404" s="2" t="s">
        <v>893</v>
      </c>
      <c r="B404" s="2">
        <v>460288</v>
      </c>
      <c r="C404" s="2" t="s">
        <v>894</v>
      </c>
      <c r="D404" s="2">
        <v>843965511244</v>
      </c>
      <c r="E404" s="2" t="s">
        <v>90</v>
      </c>
      <c r="F404" s="2" t="s">
        <v>161</v>
      </c>
      <c r="G404" s="2" t="s">
        <v>162</v>
      </c>
      <c r="H404" s="2" t="s">
        <v>20</v>
      </c>
      <c r="I404" s="2" t="s">
        <v>21</v>
      </c>
      <c r="J404" s="2">
        <v>512577</v>
      </c>
      <c r="K404" s="2" t="s">
        <v>31</v>
      </c>
      <c r="L404" s="3">
        <v>45303</v>
      </c>
      <c r="M404" s="2" t="s">
        <v>23</v>
      </c>
      <c r="N404" s="2">
        <v>1566981.75</v>
      </c>
      <c r="O404" s="2" t="s">
        <v>24</v>
      </c>
      <c r="P404" t="str">
        <f>TEXT(Table1[[#This Row],[Transaction Date]],"mmm")</f>
        <v>Jan</v>
      </c>
    </row>
    <row r="405" spans="1:16" ht="15.75" customHeight="1" x14ac:dyDescent="0.3">
      <c r="A405" s="2" t="s">
        <v>895</v>
      </c>
      <c r="B405" s="2">
        <v>965955</v>
      </c>
      <c r="C405" s="2" t="s">
        <v>896</v>
      </c>
      <c r="D405" s="2">
        <v>737028625937</v>
      </c>
      <c r="E405" s="2" t="s">
        <v>90</v>
      </c>
      <c r="F405" s="2" t="s">
        <v>108</v>
      </c>
      <c r="G405" s="2" t="s">
        <v>109</v>
      </c>
      <c r="H405" s="2" t="s">
        <v>20</v>
      </c>
      <c r="I405" s="2" t="s">
        <v>47</v>
      </c>
      <c r="J405" s="2">
        <v>155790.78</v>
      </c>
      <c r="K405" s="2" t="s">
        <v>31</v>
      </c>
      <c r="L405" s="3">
        <v>45428</v>
      </c>
      <c r="M405" s="2" t="s">
        <v>112</v>
      </c>
      <c r="N405" s="2">
        <v>1689624.8</v>
      </c>
      <c r="O405" s="2" t="s">
        <v>24</v>
      </c>
      <c r="P405" t="str">
        <f>TEXT(Table1[[#This Row],[Transaction Date]],"mmm")</f>
        <v>May</v>
      </c>
    </row>
    <row r="406" spans="1:16" ht="15.75" customHeight="1" x14ac:dyDescent="0.3">
      <c r="A406" s="2" t="s">
        <v>897</v>
      </c>
      <c r="B406" s="2">
        <v>118796</v>
      </c>
      <c r="C406" s="2" t="s">
        <v>898</v>
      </c>
      <c r="D406" s="2">
        <v>680174339647</v>
      </c>
      <c r="E406" s="2" t="s">
        <v>90</v>
      </c>
      <c r="F406" s="2" t="s">
        <v>108</v>
      </c>
      <c r="G406" s="2" t="s">
        <v>109</v>
      </c>
      <c r="H406" s="2" t="s">
        <v>30</v>
      </c>
      <c r="I406" s="2" t="s">
        <v>37</v>
      </c>
      <c r="J406" s="2">
        <v>65204.76</v>
      </c>
      <c r="K406" s="2" t="s">
        <v>22</v>
      </c>
      <c r="L406" s="3">
        <v>45440</v>
      </c>
      <c r="M406" s="2" t="s">
        <v>23</v>
      </c>
      <c r="N406" s="2">
        <v>1799671.19</v>
      </c>
      <c r="O406" s="2" t="s">
        <v>24</v>
      </c>
      <c r="P406" t="str">
        <f>TEXT(Table1[[#This Row],[Transaction Date]],"mmm")</f>
        <v>May</v>
      </c>
    </row>
    <row r="407" spans="1:16" ht="15.75" customHeight="1" x14ac:dyDescent="0.3">
      <c r="A407" s="2" t="s">
        <v>899</v>
      </c>
      <c r="B407" s="2">
        <v>812461</v>
      </c>
      <c r="C407" s="2" t="s">
        <v>900</v>
      </c>
      <c r="D407" s="2">
        <v>913958837565</v>
      </c>
      <c r="E407" s="2" t="s">
        <v>27</v>
      </c>
      <c r="F407" s="2" t="s">
        <v>215</v>
      </c>
      <c r="G407" s="2" t="s">
        <v>216</v>
      </c>
      <c r="H407" s="2" t="s">
        <v>66</v>
      </c>
      <c r="I407" s="2" t="s">
        <v>37</v>
      </c>
      <c r="J407" s="2">
        <v>99147.16</v>
      </c>
      <c r="K407" s="2" t="s">
        <v>48</v>
      </c>
      <c r="L407" s="3">
        <v>45354</v>
      </c>
      <c r="M407" s="2" t="s">
        <v>23</v>
      </c>
      <c r="N407" s="2">
        <v>1505998.48</v>
      </c>
      <c r="O407" s="2" t="s">
        <v>24</v>
      </c>
      <c r="P407" t="str">
        <f>TEXT(Table1[[#This Row],[Transaction Date]],"mmm")</f>
        <v>Mar</v>
      </c>
    </row>
    <row r="408" spans="1:16" ht="15.75" customHeight="1" x14ac:dyDescent="0.3">
      <c r="A408" s="2" t="s">
        <v>901</v>
      </c>
      <c r="B408" s="2">
        <v>655225</v>
      </c>
      <c r="C408" s="2" t="s">
        <v>902</v>
      </c>
      <c r="D408" s="2">
        <v>653731524065</v>
      </c>
      <c r="E408" s="2" t="s">
        <v>27</v>
      </c>
      <c r="F408" s="2" t="s">
        <v>191</v>
      </c>
      <c r="G408" s="2" t="s">
        <v>192</v>
      </c>
      <c r="H408" s="2" t="s">
        <v>69</v>
      </c>
      <c r="I408" s="2" t="s">
        <v>21</v>
      </c>
      <c r="J408" s="2">
        <v>380588.13</v>
      </c>
      <c r="K408" s="2" t="s">
        <v>31</v>
      </c>
      <c r="L408" s="3">
        <v>45821</v>
      </c>
      <c r="M408" s="2" t="s">
        <v>23</v>
      </c>
      <c r="N408" s="2">
        <v>2102641.09</v>
      </c>
      <c r="O408" s="2" t="s">
        <v>24</v>
      </c>
      <c r="P408" t="str">
        <f>TEXT(Table1[[#This Row],[Transaction Date]],"mmm")</f>
        <v>Jun</v>
      </c>
    </row>
    <row r="409" spans="1:16" ht="15.75" customHeight="1" x14ac:dyDescent="0.3">
      <c r="A409" s="2" t="s">
        <v>903</v>
      </c>
      <c r="B409" s="2">
        <v>761846</v>
      </c>
      <c r="C409" s="2" t="s">
        <v>904</v>
      </c>
      <c r="D409" s="2">
        <v>847891210164</v>
      </c>
      <c r="E409" s="2" t="s">
        <v>27</v>
      </c>
      <c r="F409" s="2" t="s">
        <v>78</v>
      </c>
      <c r="G409" s="2" t="s">
        <v>79</v>
      </c>
      <c r="H409" s="2" t="s">
        <v>66</v>
      </c>
      <c r="I409" s="2" t="s">
        <v>52</v>
      </c>
      <c r="J409" s="2">
        <v>15732.38</v>
      </c>
      <c r="K409" s="2" t="s">
        <v>97</v>
      </c>
      <c r="L409" s="3">
        <v>45366</v>
      </c>
      <c r="M409" s="2" t="s">
        <v>23</v>
      </c>
      <c r="N409" s="2">
        <v>1410079.97</v>
      </c>
      <c r="O409" s="2" t="s">
        <v>178</v>
      </c>
      <c r="P409" t="str">
        <f>TEXT(Table1[[#This Row],[Transaction Date]],"mmm")</f>
        <v>Mar</v>
      </c>
    </row>
    <row r="410" spans="1:16" ht="15.75" customHeight="1" x14ac:dyDescent="0.3">
      <c r="A410" s="2" t="s">
        <v>905</v>
      </c>
      <c r="B410" s="2">
        <v>603602</v>
      </c>
      <c r="C410" s="2" t="s">
        <v>906</v>
      </c>
      <c r="D410" s="2">
        <v>214912003953</v>
      </c>
      <c r="E410" s="2" t="s">
        <v>27</v>
      </c>
      <c r="F410" s="2" t="s">
        <v>191</v>
      </c>
      <c r="G410" s="2" t="s">
        <v>192</v>
      </c>
      <c r="H410" s="2" t="s">
        <v>66</v>
      </c>
      <c r="I410" s="2" t="s">
        <v>47</v>
      </c>
      <c r="J410" s="2">
        <v>66658.89</v>
      </c>
      <c r="K410" s="2" t="s">
        <v>31</v>
      </c>
      <c r="L410" s="3">
        <v>45264</v>
      </c>
      <c r="M410" s="2" t="s">
        <v>23</v>
      </c>
      <c r="N410" s="2">
        <v>846851.16</v>
      </c>
      <c r="O410" s="2" t="s">
        <v>24</v>
      </c>
      <c r="P410" t="str">
        <f>TEXT(Table1[[#This Row],[Transaction Date]],"mmm")</f>
        <v>Dec</v>
      </c>
    </row>
    <row r="411" spans="1:16" ht="15.75" customHeight="1" x14ac:dyDescent="0.3">
      <c r="A411" s="2" t="s">
        <v>907</v>
      </c>
      <c r="B411" s="2">
        <v>771785</v>
      </c>
      <c r="C411" s="2" t="s">
        <v>908</v>
      </c>
      <c r="D411" s="2">
        <v>160325421103</v>
      </c>
      <c r="E411" s="2" t="s">
        <v>27</v>
      </c>
      <c r="F411" s="2" t="s">
        <v>28</v>
      </c>
      <c r="G411" s="2" t="s">
        <v>29</v>
      </c>
      <c r="H411" s="2" t="s">
        <v>20</v>
      </c>
      <c r="I411" s="2" t="s">
        <v>52</v>
      </c>
      <c r="J411" s="2">
        <v>15483.43</v>
      </c>
      <c r="K411" s="2" t="s">
        <v>22</v>
      </c>
      <c r="L411" s="3">
        <v>45459</v>
      </c>
      <c r="M411" s="2" t="s">
        <v>23</v>
      </c>
      <c r="N411" s="2">
        <v>338089.14</v>
      </c>
      <c r="O411" s="2" t="s">
        <v>24</v>
      </c>
      <c r="P411" t="str">
        <f>TEXT(Table1[[#This Row],[Transaction Date]],"mmm")</f>
        <v>Jun</v>
      </c>
    </row>
    <row r="412" spans="1:16" ht="15.75" customHeight="1" x14ac:dyDescent="0.3">
      <c r="A412" s="2" t="s">
        <v>909</v>
      </c>
      <c r="B412" s="2">
        <v>690698</v>
      </c>
      <c r="C412" s="2" t="s">
        <v>910</v>
      </c>
      <c r="D412" s="2">
        <v>602975157401</v>
      </c>
      <c r="E412" s="2" t="s">
        <v>27</v>
      </c>
      <c r="F412" s="2" t="s">
        <v>28</v>
      </c>
      <c r="G412" s="2" t="s">
        <v>29</v>
      </c>
      <c r="H412" s="2" t="s">
        <v>30</v>
      </c>
      <c r="I412" s="2" t="s">
        <v>21</v>
      </c>
      <c r="J412" s="2">
        <v>188855.58</v>
      </c>
      <c r="K412" s="2" t="s">
        <v>31</v>
      </c>
      <c r="L412" s="3">
        <v>45738</v>
      </c>
      <c r="M412" s="2" t="s">
        <v>23</v>
      </c>
      <c r="N412" s="2">
        <v>1261486.8600000001</v>
      </c>
      <c r="O412" s="2" t="s">
        <v>24</v>
      </c>
      <c r="P412" t="str">
        <f>TEXT(Table1[[#This Row],[Transaction Date]],"mmm")</f>
        <v>Mar</v>
      </c>
    </row>
    <row r="413" spans="1:16" ht="15.75" customHeight="1" x14ac:dyDescent="0.3">
      <c r="A413" s="2" t="s">
        <v>911</v>
      </c>
      <c r="B413" s="2">
        <v>509024</v>
      </c>
      <c r="C413" s="2" t="s">
        <v>912</v>
      </c>
      <c r="D413" s="2">
        <v>942224459011</v>
      </c>
      <c r="E413" s="2" t="s">
        <v>27</v>
      </c>
      <c r="F413" s="2" t="s">
        <v>215</v>
      </c>
      <c r="G413" s="2" t="s">
        <v>216</v>
      </c>
      <c r="H413" s="2" t="s">
        <v>30</v>
      </c>
      <c r="I413" s="2" t="s">
        <v>21</v>
      </c>
      <c r="J413" s="2">
        <v>360614.5</v>
      </c>
      <c r="K413" s="2" t="s">
        <v>97</v>
      </c>
      <c r="L413" s="3">
        <v>45365</v>
      </c>
      <c r="M413" s="2" t="s">
        <v>23</v>
      </c>
      <c r="N413" s="2">
        <v>2008641.96</v>
      </c>
      <c r="O413" s="2" t="s">
        <v>24</v>
      </c>
      <c r="P413" t="str">
        <f>TEXT(Table1[[#This Row],[Transaction Date]],"mmm")</f>
        <v>Mar</v>
      </c>
    </row>
    <row r="414" spans="1:16" ht="15.75" customHeight="1" x14ac:dyDescent="0.3">
      <c r="A414" s="2" t="s">
        <v>913</v>
      </c>
      <c r="B414" s="2">
        <v>659674</v>
      </c>
      <c r="C414" s="2" t="s">
        <v>914</v>
      </c>
      <c r="D414" s="2">
        <v>834218669029</v>
      </c>
      <c r="E414" s="2" t="s">
        <v>63</v>
      </c>
      <c r="F414" s="2" t="s">
        <v>82</v>
      </c>
      <c r="G414" s="2" t="s">
        <v>83</v>
      </c>
      <c r="H414" s="2" t="s">
        <v>66</v>
      </c>
      <c r="I414" s="2" t="s">
        <v>21</v>
      </c>
      <c r="J414" s="2">
        <v>473663.77</v>
      </c>
      <c r="K414" s="2" t="s">
        <v>48</v>
      </c>
      <c r="L414" s="3">
        <v>45806</v>
      </c>
      <c r="M414" s="2" t="s">
        <v>23</v>
      </c>
      <c r="N414" s="2">
        <v>1298379.1299999999</v>
      </c>
      <c r="O414" s="2" t="s">
        <v>24</v>
      </c>
      <c r="P414" t="str">
        <f>TEXT(Table1[[#This Row],[Transaction Date]],"mmm")</f>
        <v>May</v>
      </c>
    </row>
    <row r="415" spans="1:16" ht="15.75" customHeight="1" x14ac:dyDescent="0.3">
      <c r="A415" s="2" t="s">
        <v>915</v>
      </c>
      <c r="B415" s="2">
        <v>147203</v>
      </c>
      <c r="C415" s="2" t="s">
        <v>916</v>
      </c>
      <c r="D415" s="2">
        <v>554908105827</v>
      </c>
      <c r="E415" s="2" t="s">
        <v>27</v>
      </c>
      <c r="F415" s="2" t="s">
        <v>191</v>
      </c>
      <c r="G415" s="2" t="s">
        <v>192</v>
      </c>
      <c r="H415" s="2" t="s">
        <v>69</v>
      </c>
      <c r="I415" s="2" t="s">
        <v>52</v>
      </c>
      <c r="J415" s="2">
        <v>98802.85</v>
      </c>
      <c r="K415" s="2" t="s">
        <v>22</v>
      </c>
      <c r="L415" s="3">
        <v>45401</v>
      </c>
      <c r="M415" s="2" t="s">
        <v>23</v>
      </c>
      <c r="N415" s="2">
        <v>2006752.03</v>
      </c>
      <c r="O415" s="2" t="s">
        <v>24</v>
      </c>
      <c r="P415" t="str">
        <f>TEXT(Table1[[#This Row],[Transaction Date]],"mmm")</f>
        <v>Apr</v>
      </c>
    </row>
    <row r="416" spans="1:16" ht="15.75" customHeight="1" x14ac:dyDescent="0.3">
      <c r="A416" s="2" t="s">
        <v>917</v>
      </c>
      <c r="B416" s="2">
        <v>780768</v>
      </c>
      <c r="C416" s="2" t="s">
        <v>918</v>
      </c>
      <c r="D416" s="2">
        <v>815919059377</v>
      </c>
      <c r="E416" s="2" t="s">
        <v>90</v>
      </c>
      <c r="F416" s="2" t="s">
        <v>108</v>
      </c>
      <c r="G416" s="2" t="s">
        <v>109</v>
      </c>
      <c r="H416" s="2" t="s">
        <v>20</v>
      </c>
      <c r="I416" s="2" t="s">
        <v>52</v>
      </c>
      <c r="J416" s="2">
        <v>28863.24</v>
      </c>
      <c r="K416" s="2" t="s">
        <v>31</v>
      </c>
      <c r="L416" s="3">
        <v>45165</v>
      </c>
      <c r="M416" s="2" t="s">
        <v>23</v>
      </c>
      <c r="N416" s="2">
        <v>1761796.83</v>
      </c>
      <c r="O416" s="2" t="s">
        <v>24</v>
      </c>
      <c r="P416" t="str">
        <f>TEXT(Table1[[#This Row],[Transaction Date]],"mmm")</f>
        <v>Aug</v>
      </c>
    </row>
    <row r="417" spans="1:16" ht="15.75" customHeight="1" x14ac:dyDescent="0.3">
      <c r="A417" s="2" t="s">
        <v>919</v>
      </c>
      <c r="B417" s="2">
        <v>904317</v>
      </c>
      <c r="C417" s="2" t="s">
        <v>920</v>
      </c>
      <c r="D417" s="2">
        <v>634833077589</v>
      </c>
      <c r="E417" s="2" t="s">
        <v>90</v>
      </c>
      <c r="F417" s="2" t="s">
        <v>129</v>
      </c>
      <c r="G417" s="2" t="s">
        <v>130</v>
      </c>
      <c r="H417" s="2" t="s">
        <v>66</v>
      </c>
      <c r="I417" s="2" t="s">
        <v>37</v>
      </c>
      <c r="J417" s="2">
        <v>75640.210000000006</v>
      </c>
      <c r="K417" s="2" t="s">
        <v>31</v>
      </c>
      <c r="L417" s="3">
        <v>45489</v>
      </c>
      <c r="M417" s="2" t="s">
        <v>23</v>
      </c>
      <c r="N417" s="2">
        <v>1696282.05</v>
      </c>
      <c r="O417" s="2" t="s">
        <v>24</v>
      </c>
      <c r="P417" t="str">
        <f>TEXT(Table1[[#This Row],[Transaction Date]],"mmm")</f>
        <v>Jul</v>
      </c>
    </row>
    <row r="418" spans="1:16" ht="15.75" customHeight="1" x14ac:dyDescent="0.3">
      <c r="A418" s="2" t="s">
        <v>921</v>
      </c>
      <c r="B418" s="2">
        <v>994371</v>
      </c>
      <c r="C418" s="2" t="s">
        <v>922</v>
      </c>
      <c r="D418" s="2">
        <v>681386364839</v>
      </c>
      <c r="E418" s="2" t="s">
        <v>27</v>
      </c>
      <c r="F418" s="2" t="s">
        <v>149</v>
      </c>
      <c r="G418" s="2" t="s">
        <v>150</v>
      </c>
      <c r="H418" s="2" t="s">
        <v>69</v>
      </c>
      <c r="I418" s="2" t="s">
        <v>52</v>
      </c>
      <c r="J418" s="2">
        <v>25989.27</v>
      </c>
      <c r="K418" s="2" t="s">
        <v>48</v>
      </c>
      <c r="L418" s="3">
        <v>45727</v>
      </c>
      <c r="M418" s="2" t="s">
        <v>23</v>
      </c>
      <c r="N418" s="2">
        <v>1869459.68</v>
      </c>
      <c r="O418" s="2" t="s">
        <v>24</v>
      </c>
      <c r="P418" t="str">
        <f>TEXT(Table1[[#This Row],[Transaction Date]],"mmm")</f>
        <v>Mar</v>
      </c>
    </row>
    <row r="419" spans="1:16" ht="15.75" customHeight="1" x14ac:dyDescent="0.3">
      <c r="A419" s="2" t="s">
        <v>923</v>
      </c>
      <c r="B419" s="2">
        <v>544541</v>
      </c>
      <c r="C419" s="2" t="s">
        <v>924</v>
      </c>
      <c r="D419" s="2">
        <v>339699282348</v>
      </c>
      <c r="E419" s="2" t="s">
        <v>90</v>
      </c>
      <c r="F419" s="2" t="s">
        <v>108</v>
      </c>
      <c r="G419" s="2" t="s">
        <v>109</v>
      </c>
      <c r="H419" s="2" t="s">
        <v>30</v>
      </c>
      <c r="I419" s="2" t="s">
        <v>21</v>
      </c>
      <c r="J419" s="2">
        <v>306077.19</v>
      </c>
      <c r="K419" s="2" t="s">
        <v>48</v>
      </c>
      <c r="L419" s="3">
        <v>45383</v>
      </c>
      <c r="M419" s="2" t="s">
        <v>23</v>
      </c>
      <c r="N419" s="2">
        <v>445276.17</v>
      </c>
      <c r="O419" s="2" t="s">
        <v>24</v>
      </c>
      <c r="P419" t="str">
        <f>TEXT(Table1[[#This Row],[Transaction Date]],"mmm")</f>
        <v>Apr</v>
      </c>
    </row>
    <row r="420" spans="1:16" ht="15.75" customHeight="1" x14ac:dyDescent="0.3">
      <c r="A420" s="2" t="s">
        <v>925</v>
      </c>
      <c r="B420" s="2">
        <v>814098</v>
      </c>
      <c r="C420" s="2" t="s">
        <v>926</v>
      </c>
      <c r="D420" s="2">
        <v>634498445905</v>
      </c>
      <c r="E420" s="2" t="s">
        <v>27</v>
      </c>
      <c r="F420" s="2" t="s">
        <v>215</v>
      </c>
      <c r="G420" s="2" t="s">
        <v>216</v>
      </c>
      <c r="H420" s="2" t="s">
        <v>20</v>
      </c>
      <c r="I420" s="2" t="s">
        <v>47</v>
      </c>
      <c r="J420" s="2">
        <v>278744.09999999998</v>
      </c>
      <c r="K420" s="2" t="s">
        <v>31</v>
      </c>
      <c r="L420" s="3">
        <v>45373</v>
      </c>
      <c r="M420" s="2" t="s">
        <v>23</v>
      </c>
      <c r="N420" s="2">
        <v>946157.45</v>
      </c>
      <c r="O420" s="2" t="s">
        <v>24</v>
      </c>
      <c r="P420" t="str">
        <f>TEXT(Table1[[#This Row],[Transaction Date]],"mmm")</f>
        <v>Mar</v>
      </c>
    </row>
    <row r="421" spans="1:16" ht="15.75" customHeight="1" x14ac:dyDescent="0.3">
      <c r="A421" s="2" t="s">
        <v>927</v>
      </c>
      <c r="B421" s="2">
        <v>362469</v>
      </c>
      <c r="C421" s="2" t="s">
        <v>928</v>
      </c>
      <c r="D421" s="2">
        <v>574613910418</v>
      </c>
      <c r="E421" s="2" t="s">
        <v>17</v>
      </c>
      <c r="F421" s="2" t="s">
        <v>45</v>
      </c>
      <c r="G421" s="2" t="s">
        <v>46</v>
      </c>
      <c r="H421" s="2" t="s">
        <v>66</v>
      </c>
      <c r="I421" s="2" t="s">
        <v>37</v>
      </c>
      <c r="J421" s="2">
        <v>19889.240000000002</v>
      </c>
      <c r="K421" s="2" t="s">
        <v>22</v>
      </c>
      <c r="L421" s="3">
        <v>45759</v>
      </c>
      <c r="M421" s="2" t="s">
        <v>23</v>
      </c>
      <c r="N421" s="2">
        <v>536984.80000000005</v>
      </c>
      <c r="O421" s="2" t="s">
        <v>24</v>
      </c>
      <c r="P421" t="str">
        <f>TEXT(Table1[[#This Row],[Transaction Date]],"mmm")</f>
        <v>Apr</v>
      </c>
    </row>
    <row r="422" spans="1:16" ht="15.75" customHeight="1" x14ac:dyDescent="0.3">
      <c r="A422" s="2" t="s">
        <v>929</v>
      </c>
      <c r="B422" s="2">
        <v>156651</v>
      </c>
      <c r="C422" s="2" t="s">
        <v>930</v>
      </c>
      <c r="D422" s="2">
        <v>712831351149</v>
      </c>
      <c r="E422" s="2" t="s">
        <v>63</v>
      </c>
      <c r="F422" s="2" t="s">
        <v>82</v>
      </c>
      <c r="G422" s="2" t="s">
        <v>83</v>
      </c>
      <c r="H422" s="2" t="s">
        <v>30</v>
      </c>
      <c r="I422" s="2" t="s">
        <v>47</v>
      </c>
      <c r="J422" s="2">
        <v>211790.53</v>
      </c>
      <c r="K422" s="2" t="s">
        <v>97</v>
      </c>
      <c r="L422" s="3">
        <v>45205</v>
      </c>
      <c r="M422" s="2" t="s">
        <v>23</v>
      </c>
      <c r="N422" s="2">
        <v>2062458.03</v>
      </c>
      <c r="O422" s="2" t="s">
        <v>24</v>
      </c>
      <c r="P422" t="str">
        <f>TEXT(Table1[[#This Row],[Transaction Date]],"mmm")</f>
        <v>Oct</v>
      </c>
    </row>
    <row r="423" spans="1:16" ht="15.75" customHeight="1" x14ac:dyDescent="0.3">
      <c r="A423" s="2" t="s">
        <v>931</v>
      </c>
      <c r="B423" s="2">
        <v>223991</v>
      </c>
      <c r="C423" s="2" t="s">
        <v>932</v>
      </c>
      <c r="D423" s="2">
        <v>925585552693</v>
      </c>
      <c r="E423" s="2" t="s">
        <v>17</v>
      </c>
      <c r="F423" s="2" t="s">
        <v>55</v>
      </c>
      <c r="G423" s="2" t="s">
        <v>56</v>
      </c>
      <c r="H423" s="2" t="s">
        <v>20</v>
      </c>
      <c r="I423" s="2" t="s">
        <v>21</v>
      </c>
      <c r="J423" s="2">
        <v>419123.96</v>
      </c>
      <c r="K423" s="2" t="s">
        <v>97</v>
      </c>
      <c r="L423" s="3">
        <v>45753</v>
      </c>
      <c r="M423" s="2" t="s">
        <v>23</v>
      </c>
      <c r="N423" s="2">
        <v>718722.06</v>
      </c>
      <c r="O423" s="2" t="s">
        <v>24</v>
      </c>
      <c r="P423" t="str">
        <f>TEXT(Table1[[#This Row],[Transaction Date]],"mmm")</f>
        <v>Apr</v>
      </c>
    </row>
    <row r="424" spans="1:16" ht="15.75" customHeight="1" x14ac:dyDescent="0.3">
      <c r="A424" s="2" t="s">
        <v>933</v>
      </c>
      <c r="B424" s="2">
        <v>381958</v>
      </c>
      <c r="C424" s="2" t="s">
        <v>934</v>
      </c>
      <c r="D424" s="2">
        <v>503095894291</v>
      </c>
      <c r="E424" s="2" t="s">
        <v>63</v>
      </c>
      <c r="F424" s="2" t="s">
        <v>82</v>
      </c>
      <c r="G424" s="2" t="s">
        <v>83</v>
      </c>
      <c r="H424" s="2" t="s">
        <v>30</v>
      </c>
      <c r="I424" s="2" t="s">
        <v>47</v>
      </c>
      <c r="J424" s="2">
        <v>221952.99</v>
      </c>
      <c r="K424" s="2" t="s">
        <v>48</v>
      </c>
      <c r="L424" s="3">
        <v>45489</v>
      </c>
      <c r="M424" s="2" t="s">
        <v>23</v>
      </c>
      <c r="N424" s="2">
        <v>830174.30999999994</v>
      </c>
      <c r="O424" s="2" t="s">
        <v>24</v>
      </c>
      <c r="P424" t="str">
        <f>TEXT(Table1[[#This Row],[Transaction Date]],"mmm")</f>
        <v>Jul</v>
      </c>
    </row>
    <row r="425" spans="1:16" ht="15.75" customHeight="1" x14ac:dyDescent="0.3">
      <c r="A425" s="2" t="s">
        <v>935</v>
      </c>
      <c r="B425" s="2">
        <v>888870</v>
      </c>
      <c r="C425" s="2" t="s">
        <v>936</v>
      </c>
      <c r="D425" s="2">
        <v>455614151118</v>
      </c>
      <c r="E425" s="2" t="s">
        <v>90</v>
      </c>
      <c r="F425" s="2" t="s">
        <v>108</v>
      </c>
      <c r="G425" s="2" t="s">
        <v>109</v>
      </c>
      <c r="H425" s="2" t="s">
        <v>69</v>
      </c>
      <c r="I425" s="2" t="s">
        <v>21</v>
      </c>
      <c r="J425" s="2">
        <v>174567.42</v>
      </c>
      <c r="K425" s="2" t="s">
        <v>48</v>
      </c>
      <c r="L425" s="3">
        <v>45528</v>
      </c>
      <c r="M425" s="2" t="s">
        <v>23</v>
      </c>
      <c r="N425" s="2">
        <v>1043689.06</v>
      </c>
      <c r="O425" s="2" t="s">
        <v>24</v>
      </c>
      <c r="P425" t="str">
        <f>TEXT(Table1[[#This Row],[Transaction Date]],"mmm")</f>
        <v>Aug</v>
      </c>
    </row>
    <row r="426" spans="1:16" ht="15.75" customHeight="1" x14ac:dyDescent="0.3">
      <c r="A426" s="2" t="s">
        <v>937</v>
      </c>
      <c r="B426" s="2">
        <v>194074</v>
      </c>
      <c r="C426" s="2" t="s">
        <v>938</v>
      </c>
      <c r="D426" s="2">
        <v>370100981708</v>
      </c>
      <c r="E426" s="2" t="s">
        <v>17</v>
      </c>
      <c r="F426" s="2" t="s">
        <v>55</v>
      </c>
      <c r="G426" s="2" t="s">
        <v>56</v>
      </c>
      <c r="H426" s="2" t="s">
        <v>30</v>
      </c>
      <c r="I426" s="2" t="s">
        <v>37</v>
      </c>
      <c r="J426" s="2">
        <v>34180.81</v>
      </c>
      <c r="K426" s="2" t="s">
        <v>97</v>
      </c>
      <c r="L426" s="3">
        <v>45229</v>
      </c>
      <c r="M426" s="2" t="s">
        <v>23</v>
      </c>
      <c r="N426" s="2">
        <v>821912.01</v>
      </c>
      <c r="O426" s="2" t="s">
        <v>24</v>
      </c>
      <c r="P426" t="str">
        <f>TEXT(Table1[[#This Row],[Transaction Date]],"mmm")</f>
        <v>Oct</v>
      </c>
    </row>
    <row r="427" spans="1:16" ht="15.75" customHeight="1" x14ac:dyDescent="0.3">
      <c r="A427" s="2" t="s">
        <v>939</v>
      </c>
      <c r="B427" s="2">
        <v>870636</v>
      </c>
      <c r="C427" s="2" t="s">
        <v>940</v>
      </c>
      <c r="D427" s="2">
        <v>265725559669</v>
      </c>
      <c r="E427" s="2" t="s">
        <v>34</v>
      </c>
      <c r="F427" s="2" t="s">
        <v>41</v>
      </c>
      <c r="G427" s="2" t="s">
        <v>42</v>
      </c>
      <c r="H427" s="2" t="s">
        <v>69</v>
      </c>
      <c r="I427" s="2" t="s">
        <v>21</v>
      </c>
      <c r="J427" s="2">
        <v>204879.07</v>
      </c>
      <c r="K427" s="2" t="s">
        <v>97</v>
      </c>
      <c r="L427" s="3">
        <v>45340</v>
      </c>
      <c r="M427" s="2" t="s">
        <v>23</v>
      </c>
      <c r="N427" s="2">
        <v>1860252.84</v>
      </c>
      <c r="O427" s="2" t="s">
        <v>24</v>
      </c>
      <c r="P427" t="str">
        <f>TEXT(Table1[[#This Row],[Transaction Date]],"mmm")</f>
        <v>Feb</v>
      </c>
    </row>
    <row r="428" spans="1:16" ht="15.75" customHeight="1" x14ac:dyDescent="0.3">
      <c r="A428" s="2" t="s">
        <v>941</v>
      </c>
      <c r="B428" s="2">
        <v>417871</v>
      </c>
      <c r="C428" s="2" t="s">
        <v>942</v>
      </c>
      <c r="D428" s="2">
        <v>340570703401</v>
      </c>
      <c r="E428" s="2" t="s">
        <v>17</v>
      </c>
      <c r="F428" s="2" t="s">
        <v>155</v>
      </c>
      <c r="G428" s="2" t="s">
        <v>156</v>
      </c>
      <c r="H428" s="2" t="s">
        <v>66</v>
      </c>
      <c r="I428" s="2" t="s">
        <v>52</v>
      </c>
      <c r="J428" s="2">
        <v>126048.15</v>
      </c>
      <c r="K428" s="2" t="s">
        <v>31</v>
      </c>
      <c r="L428" s="3">
        <v>45278</v>
      </c>
      <c r="M428" s="2" t="s">
        <v>23</v>
      </c>
      <c r="N428" s="2">
        <v>305126.23</v>
      </c>
      <c r="O428" s="2" t="s">
        <v>24</v>
      </c>
      <c r="P428" t="str">
        <f>TEXT(Table1[[#This Row],[Transaction Date]],"mmm")</f>
        <v>Dec</v>
      </c>
    </row>
    <row r="429" spans="1:16" ht="15.75" customHeight="1" x14ac:dyDescent="0.3">
      <c r="A429" s="2" t="s">
        <v>943</v>
      </c>
      <c r="B429" s="2">
        <v>514407</v>
      </c>
      <c r="C429" s="2" t="s">
        <v>944</v>
      </c>
      <c r="D429" s="2">
        <v>675036663044</v>
      </c>
      <c r="E429" s="2" t="s">
        <v>90</v>
      </c>
      <c r="F429" s="2" t="s">
        <v>129</v>
      </c>
      <c r="G429" s="2" t="s">
        <v>130</v>
      </c>
      <c r="H429" s="2" t="s">
        <v>69</v>
      </c>
      <c r="I429" s="2" t="s">
        <v>47</v>
      </c>
      <c r="J429" s="2">
        <v>94591.93</v>
      </c>
      <c r="K429" s="2" t="s">
        <v>38</v>
      </c>
      <c r="L429" s="3">
        <v>45496</v>
      </c>
      <c r="M429" s="2" t="s">
        <v>23</v>
      </c>
      <c r="N429" s="2">
        <v>1580999.81</v>
      </c>
      <c r="O429" s="2" t="s">
        <v>24</v>
      </c>
      <c r="P429" t="str">
        <f>TEXT(Table1[[#This Row],[Transaction Date]],"mmm")</f>
        <v>Jul</v>
      </c>
    </row>
    <row r="430" spans="1:16" ht="15.75" customHeight="1" x14ac:dyDescent="0.3">
      <c r="A430" s="2" t="s">
        <v>945</v>
      </c>
      <c r="B430" s="2">
        <v>356658</v>
      </c>
      <c r="C430" s="2" t="s">
        <v>946</v>
      </c>
      <c r="D430" s="2">
        <v>605418878157</v>
      </c>
      <c r="E430" s="2" t="s">
        <v>90</v>
      </c>
      <c r="F430" s="2" t="s">
        <v>104</v>
      </c>
      <c r="G430" s="2" t="s">
        <v>105</v>
      </c>
      <c r="H430" s="2" t="s">
        <v>69</v>
      </c>
      <c r="I430" s="2" t="s">
        <v>21</v>
      </c>
      <c r="J430" s="2">
        <v>40155.279999999999</v>
      </c>
      <c r="K430" s="2" t="s">
        <v>31</v>
      </c>
      <c r="L430" s="3">
        <v>45204</v>
      </c>
      <c r="M430" s="2" t="s">
        <v>23</v>
      </c>
      <c r="N430" s="2">
        <v>527727.55000000005</v>
      </c>
      <c r="O430" s="2" t="s">
        <v>24</v>
      </c>
      <c r="P430" t="str">
        <f>TEXT(Table1[[#This Row],[Transaction Date]],"mmm")</f>
        <v>Oct</v>
      </c>
    </row>
    <row r="431" spans="1:16" ht="15.75" customHeight="1" x14ac:dyDescent="0.3">
      <c r="A431" s="2" t="s">
        <v>947</v>
      </c>
      <c r="B431" s="2">
        <v>256689</v>
      </c>
      <c r="C431" s="2" t="s">
        <v>948</v>
      </c>
      <c r="D431" s="2">
        <v>597626604290</v>
      </c>
      <c r="E431" s="2" t="s">
        <v>17</v>
      </c>
      <c r="F431" s="2" t="s">
        <v>86</v>
      </c>
      <c r="G431" s="2" t="s">
        <v>87</v>
      </c>
      <c r="H431" s="2" t="s">
        <v>66</v>
      </c>
      <c r="I431" s="2" t="s">
        <v>21</v>
      </c>
      <c r="J431" s="2">
        <v>269846.56</v>
      </c>
      <c r="K431" s="2" t="s">
        <v>31</v>
      </c>
      <c r="L431" s="3">
        <v>45168</v>
      </c>
      <c r="M431" s="2" t="s">
        <v>23</v>
      </c>
      <c r="N431" s="2">
        <v>1057833.83</v>
      </c>
      <c r="O431" s="2" t="s">
        <v>24</v>
      </c>
      <c r="P431" t="str">
        <f>TEXT(Table1[[#This Row],[Transaction Date]],"mmm")</f>
        <v>Aug</v>
      </c>
    </row>
    <row r="432" spans="1:16" ht="15.75" customHeight="1" x14ac:dyDescent="0.3">
      <c r="A432" s="2" t="s">
        <v>949</v>
      </c>
      <c r="B432" s="2">
        <v>172968</v>
      </c>
      <c r="C432" s="2" t="s">
        <v>950</v>
      </c>
      <c r="D432" s="2">
        <v>223152974785</v>
      </c>
      <c r="E432" s="2" t="s">
        <v>90</v>
      </c>
      <c r="F432" s="2" t="s">
        <v>91</v>
      </c>
      <c r="G432" s="2" t="s">
        <v>92</v>
      </c>
      <c r="H432" s="2" t="s">
        <v>30</v>
      </c>
      <c r="I432" s="2" t="s">
        <v>47</v>
      </c>
      <c r="J432" s="2">
        <v>6453.41</v>
      </c>
      <c r="K432" s="2" t="s">
        <v>97</v>
      </c>
      <c r="L432" s="3">
        <v>45549</v>
      </c>
      <c r="M432" s="2" t="s">
        <v>23</v>
      </c>
      <c r="N432" s="2">
        <v>1260667.3500000001</v>
      </c>
      <c r="O432" s="2" t="s">
        <v>24</v>
      </c>
      <c r="P432" t="str">
        <f>TEXT(Table1[[#This Row],[Transaction Date]],"mmm")</f>
        <v>Sep</v>
      </c>
    </row>
    <row r="433" spans="1:16" ht="15.75" customHeight="1" x14ac:dyDescent="0.3">
      <c r="A433" s="2" t="s">
        <v>951</v>
      </c>
      <c r="B433" s="2">
        <v>473572</v>
      </c>
      <c r="C433" s="2" t="s">
        <v>952</v>
      </c>
      <c r="D433" s="2">
        <v>862059035512</v>
      </c>
      <c r="E433" s="2" t="s">
        <v>34</v>
      </c>
      <c r="F433" s="2" t="s">
        <v>59</v>
      </c>
      <c r="G433" s="2" t="s">
        <v>60</v>
      </c>
      <c r="H433" s="2" t="s">
        <v>66</v>
      </c>
      <c r="I433" s="2" t="s">
        <v>21</v>
      </c>
      <c r="J433" s="2">
        <v>378135.91</v>
      </c>
      <c r="K433" s="2" t="s">
        <v>38</v>
      </c>
      <c r="L433" s="3">
        <v>45630</v>
      </c>
      <c r="M433" s="2" t="s">
        <v>23</v>
      </c>
      <c r="N433" s="2">
        <v>460516.67</v>
      </c>
      <c r="O433" s="2" t="s">
        <v>24</v>
      </c>
      <c r="P433" t="str">
        <f>TEXT(Table1[[#This Row],[Transaction Date]],"mmm")</f>
        <v>Dec</v>
      </c>
    </row>
    <row r="434" spans="1:16" ht="15.75" customHeight="1" x14ac:dyDescent="0.3">
      <c r="A434" s="2" t="s">
        <v>953</v>
      </c>
      <c r="B434" s="2">
        <v>727196</v>
      </c>
      <c r="C434" s="2" t="s">
        <v>954</v>
      </c>
      <c r="D434" s="2">
        <v>213803806556</v>
      </c>
      <c r="E434" s="2" t="s">
        <v>17</v>
      </c>
      <c r="F434" s="2" t="s">
        <v>155</v>
      </c>
      <c r="G434" s="2" t="s">
        <v>156</v>
      </c>
      <c r="H434" s="2" t="s">
        <v>20</v>
      </c>
      <c r="I434" s="2" t="s">
        <v>47</v>
      </c>
      <c r="J434" s="2">
        <v>162015.07</v>
      </c>
      <c r="K434" s="2" t="s">
        <v>38</v>
      </c>
      <c r="L434" s="3">
        <v>45289</v>
      </c>
      <c r="M434" s="2" t="s">
        <v>112</v>
      </c>
      <c r="N434" s="2">
        <v>2062704.01</v>
      </c>
      <c r="O434" s="2" t="s">
        <v>24</v>
      </c>
      <c r="P434" t="str">
        <f>TEXT(Table1[[#This Row],[Transaction Date]],"mmm")</f>
        <v>Dec</v>
      </c>
    </row>
    <row r="435" spans="1:16" ht="15.75" customHeight="1" x14ac:dyDescent="0.3">
      <c r="A435" s="2" t="s">
        <v>955</v>
      </c>
      <c r="B435" s="2">
        <v>310437</v>
      </c>
      <c r="C435" s="2" t="s">
        <v>956</v>
      </c>
      <c r="D435" s="2">
        <v>619311161355</v>
      </c>
      <c r="E435" s="2" t="s">
        <v>27</v>
      </c>
      <c r="F435" s="2" t="s">
        <v>191</v>
      </c>
      <c r="G435" s="2" t="s">
        <v>192</v>
      </c>
      <c r="H435" s="2" t="s">
        <v>20</v>
      </c>
      <c r="I435" s="2" t="s">
        <v>47</v>
      </c>
      <c r="J435" s="2">
        <v>86822.48</v>
      </c>
      <c r="K435" s="2" t="s">
        <v>31</v>
      </c>
      <c r="L435" s="3">
        <v>45711</v>
      </c>
      <c r="M435" s="2" t="s">
        <v>23</v>
      </c>
      <c r="N435" s="2">
        <v>1212113.4099999999</v>
      </c>
      <c r="O435" s="2" t="s">
        <v>24</v>
      </c>
      <c r="P435" t="str">
        <f>TEXT(Table1[[#This Row],[Transaction Date]],"mmm")</f>
        <v>Feb</v>
      </c>
    </row>
    <row r="436" spans="1:16" ht="15.75" customHeight="1" x14ac:dyDescent="0.3">
      <c r="A436" s="2" t="s">
        <v>957</v>
      </c>
      <c r="B436" s="2">
        <v>446826</v>
      </c>
      <c r="C436" s="2" t="s">
        <v>958</v>
      </c>
      <c r="D436" s="2">
        <v>369238077065</v>
      </c>
      <c r="E436" s="2" t="s">
        <v>17</v>
      </c>
      <c r="F436" s="2" t="s">
        <v>155</v>
      </c>
      <c r="G436" s="2" t="s">
        <v>156</v>
      </c>
      <c r="H436" s="2" t="s">
        <v>30</v>
      </c>
      <c r="I436" s="2" t="s">
        <v>37</v>
      </c>
      <c r="J436" s="2">
        <v>27058.35</v>
      </c>
      <c r="K436" s="2" t="s">
        <v>97</v>
      </c>
      <c r="L436" s="3">
        <v>45345</v>
      </c>
      <c r="M436" s="2" t="s">
        <v>23</v>
      </c>
      <c r="N436" s="2">
        <v>233863.72</v>
      </c>
      <c r="O436" s="2" t="s">
        <v>24</v>
      </c>
      <c r="P436" t="str">
        <f>TEXT(Table1[[#This Row],[Transaction Date]],"mmm")</f>
        <v>Feb</v>
      </c>
    </row>
    <row r="437" spans="1:16" ht="15.75" customHeight="1" x14ac:dyDescent="0.3">
      <c r="A437" s="2" t="s">
        <v>959</v>
      </c>
      <c r="B437" s="2">
        <v>330179</v>
      </c>
      <c r="C437" s="2" t="s">
        <v>960</v>
      </c>
      <c r="D437" s="2">
        <v>507751770849</v>
      </c>
      <c r="E437" s="2" t="s">
        <v>34</v>
      </c>
      <c r="F437" s="2" t="s">
        <v>59</v>
      </c>
      <c r="G437" s="2" t="s">
        <v>60</v>
      </c>
      <c r="H437" s="2" t="s">
        <v>69</v>
      </c>
      <c r="I437" s="2" t="s">
        <v>37</v>
      </c>
      <c r="J437" s="2">
        <v>86561.53</v>
      </c>
      <c r="K437" s="2" t="s">
        <v>31</v>
      </c>
      <c r="L437" s="3">
        <v>45279</v>
      </c>
      <c r="M437" s="2" t="s">
        <v>23</v>
      </c>
      <c r="N437" s="2">
        <v>1697759.69</v>
      </c>
      <c r="O437" s="2" t="s">
        <v>24</v>
      </c>
      <c r="P437" t="str">
        <f>TEXT(Table1[[#This Row],[Transaction Date]],"mmm")</f>
        <v>Dec</v>
      </c>
    </row>
    <row r="438" spans="1:16" ht="15.75" customHeight="1" x14ac:dyDescent="0.3">
      <c r="A438" s="2" t="s">
        <v>961</v>
      </c>
      <c r="B438" s="2">
        <v>129665</v>
      </c>
      <c r="C438" s="2" t="s">
        <v>962</v>
      </c>
      <c r="D438" s="2">
        <v>685732683411</v>
      </c>
      <c r="E438" s="2" t="s">
        <v>90</v>
      </c>
      <c r="F438" s="2" t="s">
        <v>108</v>
      </c>
      <c r="G438" s="2" t="s">
        <v>109</v>
      </c>
      <c r="H438" s="2" t="s">
        <v>69</v>
      </c>
      <c r="I438" s="2" t="s">
        <v>37</v>
      </c>
      <c r="J438" s="2">
        <v>110972.64</v>
      </c>
      <c r="K438" s="2" t="s">
        <v>48</v>
      </c>
      <c r="L438" s="3">
        <v>45259</v>
      </c>
      <c r="M438" s="2" t="s">
        <v>23</v>
      </c>
      <c r="N438" s="2">
        <v>1801082.85</v>
      </c>
      <c r="O438" s="2" t="s">
        <v>24</v>
      </c>
      <c r="P438" t="str">
        <f>TEXT(Table1[[#This Row],[Transaction Date]],"mmm")</f>
        <v>Nov</v>
      </c>
    </row>
    <row r="439" spans="1:16" ht="15.75" customHeight="1" x14ac:dyDescent="0.3">
      <c r="A439" s="2" t="s">
        <v>963</v>
      </c>
      <c r="B439" s="2">
        <v>366999</v>
      </c>
      <c r="C439" s="2" t="s">
        <v>964</v>
      </c>
      <c r="D439" s="2">
        <v>105097624705</v>
      </c>
      <c r="E439" s="2" t="s">
        <v>17</v>
      </c>
      <c r="F439" s="2" t="s">
        <v>155</v>
      </c>
      <c r="G439" s="2" t="s">
        <v>156</v>
      </c>
      <c r="H439" s="2" t="s">
        <v>30</v>
      </c>
      <c r="I439" s="2" t="s">
        <v>47</v>
      </c>
      <c r="J439" s="2">
        <v>6574.26</v>
      </c>
      <c r="K439" s="2" t="s">
        <v>97</v>
      </c>
      <c r="L439" s="3">
        <v>45559</v>
      </c>
      <c r="M439" s="2" t="s">
        <v>23</v>
      </c>
      <c r="N439" s="2">
        <v>592520.64</v>
      </c>
      <c r="O439" s="2" t="s">
        <v>24</v>
      </c>
      <c r="P439" t="str">
        <f>TEXT(Table1[[#This Row],[Transaction Date]],"mmm")</f>
        <v>Sep</v>
      </c>
    </row>
    <row r="440" spans="1:16" ht="15.75" customHeight="1" x14ac:dyDescent="0.3">
      <c r="A440" s="2" t="s">
        <v>965</v>
      </c>
      <c r="B440" s="2">
        <v>552388</v>
      </c>
      <c r="C440" s="2" t="s">
        <v>966</v>
      </c>
      <c r="D440" s="2">
        <v>453842146842</v>
      </c>
      <c r="E440" s="2" t="s">
        <v>17</v>
      </c>
      <c r="F440" s="2" t="s">
        <v>18</v>
      </c>
      <c r="G440" s="2" t="s">
        <v>19</v>
      </c>
      <c r="H440" s="2" t="s">
        <v>69</v>
      </c>
      <c r="I440" s="2" t="s">
        <v>52</v>
      </c>
      <c r="J440" s="2">
        <v>195381.64</v>
      </c>
      <c r="K440" s="2" t="s">
        <v>48</v>
      </c>
      <c r="L440" s="3">
        <v>45478</v>
      </c>
      <c r="M440" s="2" t="s">
        <v>23</v>
      </c>
      <c r="N440" s="2">
        <v>1149629.3799999999</v>
      </c>
      <c r="O440" s="2" t="s">
        <v>24</v>
      </c>
      <c r="P440" t="str">
        <f>TEXT(Table1[[#This Row],[Transaction Date]],"mmm")</f>
        <v>Jul</v>
      </c>
    </row>
    <row r="441" spans="1:16" ht="15.75" customHeight="1" x14ac:dyDescent="0.3">
      <c r="A441" s="2" t="s">
        <v>967</v>
      </c>
      <c r="B441" s="2">
        <v>523936</v>
      </c>
      <c r="C441" s="2" t="s">
        <v>968</v>
      </c>
      <c r="D441" s="2">
        <v>145261144154</v>
      </c>
      <c r="E441" s="2" t="s">
        <v>90</v>
      </c>
      <c r="F441" s="2" t="s">
        <v>91</v>
      </c>
      <c r="G441" s="2" t="s">
        <v>92</v>
      </c>
      <c r="H441" s="2" t="s">
        <v>69</v>
      </c>
      <c r="I441" s="2" t="s">
        <v>47</v>
      </c>
      <c r="J441" s="2">
        <v>34140.730000000003</v>
      </c>
      <c r="K441" s="2" t="s">
        <v>48</v>
      </c>
      <c r="L441" s="3">
        <v>45288</v>
      </c>
      <c r="M441" s="2" t="s">
        <v>167</v>
      </c>
      <c r="N441" s="2">
        <v>1510625.24</v>
      </c>
      <c r="O441" s="2" t="s">
        <v>24</v>
      </c>
      <c r="P441" t="str">
        <f>TEXT(Table1[[#This Row],[Transaction Date]],"mmm")</f>
        <v>Dec</v>
      </c>
    </row>
    <row r="442" spans="1:16" ht="15.75" customHeight="1" x14ac:dyDescent="0.3">
      <c r="A442" s="2" t="s">
        <v>969</v>
      </c>
      <c r="B442" s="2">
        <v>454612</v>
      </c>
      <c r="C442" s="2" t="s">
        <v>970</v>
      </c>
      <c r="D442" s="2">
        <v>305188756174</v>
      </c>
      <c r="E442" s="2" t="s">
        <v>90</v>
      </c>
      <c r="F442" s="2" t="s">
        <v>161</v>
      </c>
      <c r="G442" s="2" t="s">
        <v>162</v>
      </c>
      <c r="H442" s="2" t="s">
        <v>20</v>
      </c>
      <c r="I442" s="2" t="s">
        <v>52</v>
      </c>
      <c r="J442" s="2">
        <v>413815.24</v>
      </c>
      <c r="K442" s="2" t="s">
        <v>97</v>
      </c>
      <c r="L442" s="3">
        <v>45403</v>
      </c>
      <c r="M442" s="2" t="s">
        <v>167</v>
      </c>
      <c r="N442" s="2">
        <v>1653549.79</v>
      </c>
      <c r="O442" s="2" t="s">
        <v>24</v>
      </c>
      <c r="P442" t="str">
        <f>TEXT(Table1[[#This Row],[Transaction Date]],"mmm")</f>
        <v>Apr</v>
      </c>
    </row>
    <row r="443" spans="1:16" ht="15.75" customHeight="1" x14ac:dyDescent="0.3">
      <c r="A443" s="2" t="s">
        <v>971</v>
      </c>
      <c r="B443" s="2">
        <v>222331</v>
      </c>
      <c r="C443" s="2" t="s">
        <v>972</v>
      </c>
      <c r="D443" s="2">
        <v>732483075544</v>
      </c>
      <c r="E443" s="2" t="s">
        <v>27</v>
      </c>
      <c r="F443" s="2" t="s">
        <v>78</v>
      </c>
      <c r="G443" s="2" t="s">
        <v>79</v>
      </c>
      <c r="H443" s="2" t="s">
        <v>66</v>
      </c>
      <c r="I443" s="2" t="s">
        <v>21</v>
      </c>
      <c r="J443" s="2">
        <v>498951.58</v>
      </c>
      <c r="K443" s="2" t="s">
        <v>38</v>
      </c>
      <c r="L443" s="3">
        <v>45304</v>
      </c>
      <c r="M443" s="2" t="s">
        <v>23</v>
      </c>
      <c r="N443" s="2">
        <v>1249983.6100000001</v>
      </c>
      <c r="O443" s="2" t="s">
        <v>24</v>
      </c>
      <c r="P443" t="str">
        <f>TEXT(Table1[[#This Row],[Transaction Date]],"mmm")</f>
        <v>Jan</v>
      </c>
    </row>
    <row r="444" spans="1:16" ht="15.75" customHeight="1" x14ac:dyDescent="0.3">
      <c r="A444" s="2" t="s">
        <v>973</v>
      </c>
      <c r="B444" s="2">
        <v>457761</v>
      </c>
      <c r="C444" s="2" t="s">
        <v>974</v>
      </c>
      <c r="D444" s="2">
        <v>630313159087</v>
      </c>
      <c r="E444" s="2" t="s">
        <v>34</v>
      </c>
      <c r="F444" s="2" t="s">
        <v>72</v>
      </c>
      <c r="G444" s="2" t="s">
        <v>73</v>
      </c>
      <c r="H444" s="2" t="s">
        <v>69</v>
      </c>
      <c r="I444" s="2" t="s">
        <v>21</v>
      </c>
      <c r="J444" s="2">
        <v>500321.81</v>
      </c>
      <c r="K444" s="2" t="s">
        <v>48</v>
      </c>
      <c r="L444" s="3">
        <v>45612</v>
      </c>
      <c r="M444" s="2" t="s">
        <v>23</v>
      </c>
      <c r="N444" s="2">
        <v>1182670.67</v>
      </c>
      <c r="O444" s="2" t="s">
        <v>24</v>
      </c>
      <c r="P444" t="str">
        <f>TEXT(Table1[[#This Row],[Transaction Date]],"mmm")</f>
        <v>Nov</v>
      </c>
    </row>
    <row r="445" spans="1:16" ht="15.75" customHeight="1" x14ac:dyDescent="0.3">
      <c r="A445" s="2" t="s">
        <v>975</v>
      </c>
      <c r="B445" s="2">
        <v>784041</v>
      </c>
      <c r="C445" s="2" t="s">
        <v>976</v>
      </c>
      <c r="D445" s="2">
        <v>233652635234</v>
      </c>
      <c r="E445" s="2" t="s">
        <v>63</v>
      </c>
      <c r="F445" s="2" t="s">
        <v>165</v>
      </c>
      <c r="G445" s="2" t="s">
        <v>166</v>
      </c>
      <c r="H445" s="2" t="s">
        <v>20</v>
      </c>
      <c r="I445" s="2" t="s">
        <v>47</v>
      </c>
      <c r="J445" s="2">
        <v>233950.21</v>
      </c>
      <c r="K445" s="2" t="s">
        <v>38</v>
      </c>
      <c r="L445" s="3">
        <v>45764</v>
      </c>
      <c r="M445" s="2" t="s">
        <v>23</v>
      </c>
      <c r="N445" s="2">
        <v>1262558.1000000001</v>
      </c>
      <c r="O445" s="2" t="s">
        <v>24</v>
      </c>
      <c r="P445" t="str">
        <f>TEXT(Table1[[#This Row],[Transaction Date]],"mmm")</f>
        <v>Apr</v>
      </c>
    </row>
    <row r="446" spans="1:16" ht="15.75" customHeight="1" x14ac:dyDescent="0.3">
      <c r="A446" s="2" t="s">
        <v>977</v>
      </c>
      <c r="B446" s="2">
        <v>130029</v>
      </c>
      <c r="C446" s="2" t="s">
        <v>978</v>
      </c>
      <c r="D446" s="2">
        <v>649264358079</v>
      </c>
      <c r="E446" s="2" t="s">
        <v>34</v>
      </c>
      <c r="F446" s="2" t="s">
        <v>135</v>
      </c>
      <c r="G446" s="2" t="s">
        <v>136</v>
      </c>
      <c r="H446" s="2" t="s">
        <v>20</v>
      </c>
      <c r="I446" s="2" t="s">
        <v>47</v>
      </c>
      <c r="J446" s="2">
        <v>290578.13</v>
      </c>
      <c r="K446" s="2" t="s">
        <v>22</v>
      </c>
      <c r="L446" s="3">
        <v>45400</v>
      </c>
      <c r="M446" s="2" t="s">
        <v>23</v>
      </c>
      <c r="N446" s="2">
        <v>678673.67999999993</v>
      </c>
      <c r="O446" s="2" t="s">
        <v>24</v>
      </c>
      <c r="P446" t="str">
        <f>TEXT(Table1[[#This Row],[Transaction Date]],"mmm")</f>
        <v>Apr</v>
      </c>
    </row>
    <row r="447" spans="1:16" ht="15.75" customHeight="1" x14ac:dyDescent="0.3">
      <c r="A447" s="2" t="s">
        <v>979</v>
      </c>
      <c r="B447" s="2">
        <v>806467</v>
      </c>
      <c r="C447" s="2" t="s">
        <v>980</v>
      </c>
      <c r="D447" s="2">
        <v>781500218179</v>
      </c>
      <c r="E447" s="2" t="s">
        <v>63</v>
      </c>
      <c r="F447" s="2" t="s">
        <v>64</v>
      </c>
      <c r="G447" s="2" t="s">
        <v>65</v>
      </c>
      <c r="H447" s="2" t="s">
        <v>66</v>
      </c>
      <c r="I447" s="2" t="s">
        <v>47</v>
      </c>
      <c r="J447" s="2">
        <v>106758.52</v>
      </c>
      <c r="K447" s="2" t="s">
        <v>38</v>
      </c>
      <c r="L447" s="3">
        <v>45207</v>
      </c>
      <c r="M447" s="2" t="s">
        <v>167</v>
      </c>
      <c r="N447" s="2">
        <v>296937.62</v>
      </c>
      <c r="O447" s="2" t="s">
        <v>24</v>
      </c>
      <c r="P447" t="str">
        <f>TEXT(Table1[[#This Row],[Transaction Date]],"mmm")</f>
        <v>Oct</v>
      </c>
    </row>
    <row r="448" spans="1:16" ht="15.75" customHeight="1" x14ac:dyDescent="0.3">
      <c r="A448" s="2" t="s">
        <v>981</v>
      </c>
      <c r="B448" s="2">
        <v>908804</v>
      </c>
      <c r="C448" s="2" t="s">
        <v>982</v>
      </c>
      <c r="D448" s="2">
        <v>475332694595</v>
      </c>
      <c r="E448" s="2" t="s">
        <v>90</v>
      </c>
      <c r="F448" s="2" t="s">
        <v>129</v>
      </c>
      <c r="G448" s="2" t="s">
        <v>130</v>
      </c>
      <c r="H448" s="2" t="s">
        <v>30</v>
      </c>
      <c r="I448" s="2" t="s">
        <v>52</v>
      </c>
      <c r="J448" s="2">
        <v>55162.87</v>
      </c>
      <c r="K448" s="2" t="s">
        <v>97</v>
      </c>
      <c r="L448" s="3">
        <v>45258</v>
      </c>
      <c r="M448" s="2" t="s">
        <v>23</v>
      </c>
      <c r="N448" s="2">
        <v>951673.05999999994</v>
      </c>
      <c r="O448" s="2" t="s">
        <v>24</v>
      </c>
      <c r="P448" t="str">
        <f>TEXT(Table1[[#This Row],[Transaction Date]],"mmm")</f>
        <v>Nov</v>
      </c>
    </row>
    <row r="449" spans="1:16" ht="15.75" customHeight="1" x14ac:dyDescent="0.3">
      <c r="A449" s="2" t="s">
        <v>983</v>
      </c>
      <c r="B449" s="2">
        <v>578684</v>
      </c>
      <c r="C449" s="2" t="s">
        <v>984</v>
      </c>
      <c r="D449" s="2">
        <v>726753454826</v>
      </c>
      <c r="E449" s="2" t="s">
        <v>27</v>
      </c>
      <c r="F449" s="2" t="s">
        <v>191</v>
      </c>
      <c r="G449" s="2" t="s">
        <v>192</v>
      </c>
      <c r="H449" s="2" t="s">
        <v>69</v>
      </c>
      <c r="I449" s="2" t="s">
        <v>37</v>
      </c>
      <c r="J449" s="2">
        <v>145964.88</v>
      </c>
      <c r="K449" s="2" t="s">
        <v>31</v>
      </c>
      <c r="L449" s="3">
        <v>45534</v>
      </c>
      <c r="M449" s="2" t="s">
        <v>23</v>
      </c>
      <c r="N449" s="2">
        <v>176477.34</v>
      </c>
      <c r="O449" s="2" t="s">
        <v>24</v>
      </c>
      <c r="P449" t="str">
        <f>TEXT(Table1[[#This Row],[Transaction Date]],"mmm")</f>
        <v>Aug</v>
      </c>
    </row>
    <row r="450" spans="1:16" ht="15.75" customHeight="1" x14ac:dyDescent="0.3">
      <c r="A450" s="2" t="s">
        <v>985</v>
      </c>
      <c r="B450" s="2">
        <v>855681</v>
      </c>
      <c r="C450" s="2" t="s">
        <v>986</v>
      </c>
      <c r="D450" s="2">
        <v>190826722420</v>
      </c>
      <c r="E450" s="2" t="s">
        <v>34</v>
      </c>
      <c r="F450" s="2" t="s">
        <v>41</v>
      </c>
      <c r="G450" s="2" t="s">
        <v>42</v>
      </c>
      <c r="H450" s="2" t="s">
        <v>66</v>
      </c>
      <c r="I450" s="2" t="s">
        <v>37</v>
      </c>
      <c r="J450" s="2">
        <v>40273.629999999997</v>
      </c>
      <c r="K450" s="2" t="s">
        <v>97</v>
      </c>
      <c r="L450" s="3">
        <v>45250</v>
      </c>
      <c r="M450" s="2" t="s">
        <v>23</v>
      </c>
      <c r="N450" s="2">
        <v>1640296.82</v>
      </c>
      <c r="O450" s="2" t="s">
        <v>24</v>
      </c>
      <c r="P450" t="str">
        <f>TEXT(Table1[[#This Row],[Transaction Date]],"mmm")</f>
        <v>Nov</v>
      </c>
    </row>
    <row r="451" spans="1:16" ht="15.75" customHeight="1" x14ac:dyDescent="0.3">
      <c r="A451" s="2" t="s">
        <v>987</v>
      </c>
      <c r="B451" s="2">
        <v>453699</v>
      </c>
      <c r="C451" s="2" t="s">
        <v>988</v>
      </c>
      <c r="D451" s="2">
        <v>544604573240</v>
      </c>
      <c r="E451" s="2" t="s">
        <v>90</v>
      </c>
      <c r="F451" s="2" t="s">
        <v>129</v>
      </c>
      <c r="G451" s="2" t="s">
        <v>130</v>
      </c>
      <c r="H451" s="2" t="s">
        <v>30</v>
      </c>
      <c r="I451" s="2" t="s">
        <v>47</v>
      </c>
      <c r="J451" s="2">
        <v>176968.27</v>
      </c>
      <c r="K451" s="2" t="s">
        <v>22</v>
      </c>
      <c r="L451" s="3">
        <v>45669</v>
      </c>
      <c r="M451" s="2" t="s">
        <v>23</v>
      </c>
      <c r="N451" s="2">
        <v>1090544.8999999999</v>
      </c>
      <c r="O451" s="2" t="s">
        <v>24</v>
      </c>
      <c r="P451" t="str">
        <f>TEXT(Table1[[#This Row],[Transaction Date]],"mmm")</f>
        <v>Jan</v>
      </c>
    </row>
    <row r="452" spans="1:16" ht="15.75" customHeight="1" x14ac:dyDescent="0.3">
      <c r="A452" s="2" t="s">
        <v>989</v>
      </c>
      <c r="B452" s="2">
        <v>916141</v>
      </c>
      <c r="C452" s="2" t="s">
        <v>990</v>
      </c>
      <c r="D452" s="2">
        <v>838735243503</v>
      </c>
      <c r="E452" s="2" t="s">
        <v>27</v>
      </c>
      <c r="F452" s="2" t="s">
        <v>28</v>
      </c>
      <c r="G452" s="2" t="s">
        <v>29</v>
      </c>
      <c r="H452" s="2" t="s">
        <v>66</v>
      </c>
      <c r="I452" s="2" t="s">
        <v>37</v>
      </c>
      <c r="J452" s="2">
        <v>112350.94</v>
      </c>
      <c r="K452" s="2" t="s">
        <v>31</v>
      </c>
      <c r="L452" s="3">
        <v>45193</v>
      </c>
      <c r="M452" s="2" t="s">
        <v>23</v>
      </c>
      <c r="N452" s="2">
        <v>868277.44</v>
      </c>
      <c r="O452" s="2" t="s">
        <v>24</v>
      </c>
      <c r="P452" t="str">
        <f>TEXT(Table1[[#This Row],[Transaction Date]],"mmm")</f>
        <v>Sep</v>
      </c>
    </row>
    <row r="453" spans="1:16" ht="15.75" customHeight="1" x14ac:dyDescent="0.3">
      <c r="A453" s="2" t="s">
        <v>991</v>
      </c>
      <c r="B453" s="2">
        <v>155828</v>
      </c>
      <c r="C453" s="2" t="s">
        <v>992</v>
      </c>
      <c r="D453" s="2">
        <v>139729440036</v>
      </c>
      <c r="E453" s="2" t="s">
        <v>34</v>
      </c>
      <c r="F453" s="2" t="s">
        <v>41</v>
      </c>
      <c r="G453" s="2" t="s">
        <v>42</v>
      </c>
      <c r="H453" s="2" t="s">
        <v>20</v>
      </c>
      <c r="I453" s="2" t="s">
        <v>47</v>
      </c>
      <c r="J453" s="2">
        <v>177814.59</v>
      </c>
      <c r="K453" s="2" t="s">
        <v>38</v>
      </c>
      <c r="L453" s="3">
        <v>45662</v>
      </c>
      <c r="M453" s="2" t="s">
        <v>23</v>
      </c>
      <c r="N453" s="2">
        <v>1805585.1</v>
      </c>
      <c r="O453" s="2" t="s">
        <v>24</v>
      </c>
      <c r="P453" t="str">
        <f>TEXT(Table1[[#This Row],[Transaction Date]],"mmm")</f>
        <v>Jan</v>
      </c>
    </row>
    <row r="454" spans="1:16" ht="15.75" customHeight="1" x14ac:dyDescent="0.3">
      <c r="A454" s="2" t="s">
        <v>993</v>
      </c>
      <c r="B454" s="2">
        <v>612319</v>
      </c>
      <c r="C454" s="2" t="s">
        <v>994</v>
      </c>
      <c r="D454" s="2">
        <v>656157267106</v>
      </c>
      <c r="E454" s="2" t="s">
        <v>27</v>
      </c>
      <c r="F454" s="2" t="s">
        <v>28</v>
      </c>
      <c r="G454" s="2" t="s">
        <v>29</v>
      </c>
      <c r="H454" s="2" t="s">
        <v>69</v>
      </c>
      <c r="I454" s="2" t="s">
        <v>21</v>
      </c>
      <c r="J454" s="2">
        <v>143983.29999999999</v>
      </c>
      <c r="K454" s="2" t="s">
        <v>38</v>
      </c>
      <c r="L454" s="3">
        <v>45666</v>
      </c>
      <c r="M454" s="2" t="s">
        <v>23</v>
      </c>
      <c r="N454" s="2">
        <v>306242.71000000002</v>
      </c>
      <c r="O454" s="2" t="s">
        <v>24</v>
      </c>
      <c r="P454" t="str">
        <f>TEXT(Table1[[#This Row],[Transaction Date]],"mmm")</f>
        <v>Jan</v>
      </c>
    </row>
    <row r="455" spans="1:16" ht="15.75" customHeight="1" x14ac:dyDescent="0.3">
      <c r="A455" s="2" t="s">
        <v>995</v>
      </c>
      <c r="B455" s="2">
        <v>835355</v>
      </c>
      <c r="C455" s="2" t="s">
        <v>996</v>
      </c>
      <c r="D455" s="2">
        <v>536963920814</v>
      </c>
      <c r="E455" s="2" t="s">
        <v>27</v>
      </c>
      <c r="F455" s="2" t="s">
        <v>78</v>
      </c>
      <c r="G455" s="2" t="s">
        <v>79</v>
      </c>
      <c r="H455" s="2" t="s">
        <v>30</v>
      </c>
      <c r="I455" s="2" t="s">
        <v>21</v>
      </c>
      <c r="J455" s="2">
        <v>216375.47</v>
      </c>
      <c r="K455" s="2" t="s">
        <v>31</v>
      </c>
      <c r="L455" s="3">
        <v>45464</v>
      </c>
      <c r="M455" s="2" t="s">
        <v>23</v>
      </c>
      <c r="N455" s="2">
        <v>1872659.81</v>
      </c>
      <c r="O455" s="2" t="s">
        <v>24</v>
      </c>
      <c r="P455" t="str">
        <f>TEXT(Table1[[#This Row],[Transaction Date]],"mmm")</f>
        <v>Jun</v>
      </c>
    </row>
    <row r="456" spans="1:16" ht="15.75" customHeight="1" x14ac:dyDescent="0.3">
      <c r="A456" s="2" t="s">
        <v>997</v>
      </c>
      <c r="B456" s="2">
        <v>504669</v>
      </c>
      <c r="C456" s="2" t="s">
        <v>998</v>
      </c>
      <c r="D456" s="2">
        <v>754422929593</v>
      </c>
      <c r="E456" s="2" t="s">
        <v>17</v>
      </c>
      <c r="F456" s="2" t="s">
        <v>86</v>
      </c>
      <c r="G456" s="2" t="s">
        <v>87</v>
      </c>
      <c r="H456" s="2" t="s">
        <v>66</v>
      </c>
      <c r="I456" s="2" t="s">
        <v>52</v>
      </c>
      <c r="J456" s="2">
        <v>153284.23000000001</v>
      </c>
      <c r="K456" s="2" t="s">
        <v>48</v>
      </c>
      <c r="L456" s="3">
        <v>45553</v>
      </c>
      <c r="M456" s="2" t="s">
        <v>23</v>
      </c>
      <c r="N456" s="2">
        <v>2047719.1</v>
      </c>
      <c r="O456" s="2" t="s">
        <v>24</v>
      </c>
      <c r="P456" t="str">
        <f>TEXT(Table1[[#This Row],[Transaction Date]],"mmm")</f>
        <v>Sep</v>
      </c>
    </row>
    <row r="457" spans="1:16" ht="15.75" customHeight="1" x14ac:dyDescent="0.3">
      <c r="A457" s="2" t="s">
        <v>999</v>
      </c>
      <c r="B457" s="2">
        <v>473260</v>
      </c>
      <c r="C457" s="2" t="s">
        <v>1000</v>
      </c>
      <c r="D457" s="2">
        <v>304550826056</v>
      </c>
      <c r="E457" s="2" t="s">
        <v>27</v>
      </c>
      <c r="F457" s="2" t="s">
        <v>149</v>
      </c>
      <c r="G457" s="2" t="s">
        <v>150</v>
      </c>
      <c r="H457" s="2" t="s">
        <v>30</v>
      </c>
      <c r="I457" s="2" t="s">
        <v>52</v>
      </c>
      <c r="J457" s="2">
        <v>204242.97</v>
      </c>
      <c r="K457" s="2" t="s">
        <v>31</v>
      </c>
      <c r="L457" s="3">
        <v>45408</v>
      </c>
      <c r="M457" s="2" t="s">
        <v>23</v>
      </c>
      <c r="N457" s="2">
        <v>1266418.3500000001</v>
      </c>
      <c r="O457" s="2" t="s">
        <v>24</v>
      </c>
      <c r="P457" t="str">
        <f>TEXT(Table1[[#This Row],[Transaction Date]],"mmm")</f>
        <v>Apr</v>
      </c>
    </row>
    <row r="458" spans="1:16" ht="15.75" customHeight="1" x14ac:dyDescent="0.3">
      <c r="A458" s="2" t="s">
        <v>1001</v>
      </c>
      <c r="B458" s="2">
        <v>295399</v>
      </c>
      <c r="C458" s="2" t="s">
        <v>1002</v>
      </c>
      <c r="D458" s="2">
        <v>841211888565</v>
      </c>
      <c r="E458" s="2" t="s">
        <v>63</v>
      </c>
      <c r="F458" s="2" t="s">
        <v>165</v>
      </c>
      <c r="G458" s="2" t="s">
        <v>166</v>
      </c>
      <c r="H458" s="2" t="s">
        <v>20</v>
      </c>
      <c r="I458" s="2" t="s">
        <v>47</v>
      </c>
      <c r="J458" s="2">
        <v>32917.839999999997</v>
      </c>
      <c r="K458" s="2" t="s">
        <v>22</v>
      </c>
      <c r="L458" s="3">
        <v>45546</v>
      </c>
      <c r="M458" s="2" t="s">
        <v>23</v>
      </c>
      <c r="N458" s="2">
        <v>270187.18</v>
      </c>
      <c r="O458" s="2" t="s">
        <v>24</v>
      </c>
      <c r="P458" t="str">
        <f>TEXT(Table1[[#This Row],[Transaction Date]],"mmm")</f>
        <v>Sep</v>
      </c>
    </row>
    <row r="459" spans="1:16" ht="15.75" customHeight="1" x14ac:dyDescent="0.3">
      <c r="A459" s="2" t="s">
        <v>1003</v>
      </c>
      <c r="B459" s="2">
        <v>334036</v>
      </c>
      <c r="C459" s="2" t="s">
        <v>1004</v>
      </c>
      <c r="D459" s="2">
        <v>537089530790</v>
      </c>
      <c r="E459" s="2" t="s">
        <v>34</v>
      </c>
      <c r="F459" s="2" t="s">
        <v>59</v>
      </c>
      <c r="G459" s="2" t="s">
        <v>60</v>
      </c>
      <c r="H459" s="2" t="s">
        <v>66</v>
      </c>
      <c r="I459" s="2" t="s">
        <v>37</v>
      </c>
      <c r="J459" s="2">
        <v>104083.23</v>
      </c>
      <c r="K459" s="2" t="s">
        <v>31</v>
      </c>
      <c r="L459" s="3">
        <v>45391</v>
      </c>
      <c r="M459" s="2" t="s">
        <v>23</v>
      </c>
      <c r="N459" s="2">
        <v>1489360.81</v>
      </c>
      <c r="O459" s="2" t="s">
        <v>24</v>
      </c>
      <c r="P459" t="str">
        <f>TEXT(Table1[[#This Row],[Transaction Date]],"mmm")</f>
        <v>Apr</v>
      </c>
    </row>
    <row r="460" spans="1:16" ht="15.75" customHeight="1" x14ac:dyDescent="0.3">
      <c r="A460" s="2" t="s">
        <v>1005</v>
      </c>
      <c r="B460" s="2">
        <v>935158</v>
      </c>
      <c r="C460" s="2" t="s">
        <v>1006</v>
      </c>
      <c r="D460" s="2">
        <v>944938346542</v>
      </c>
      <c r="E460" s="2" t="s">
        <v>63</v>
      </c>
      <c r="F460" s="2" t="s">
        <v>176</v>
      </c>
      <c r="G460" s="2" t="s">
        <v>177</v>
      </c>
      <c r="H460" s="2" t="s">
        <v>69</v>
      </c>
      <c r="I460" s="2" t="s">
        <v>47</v>
      </c>
      <c r="J460" s="2">
        <v>150210.6</v>
      </c>
      <c r="K460" s="2" t="s">
        <v>97</v>
      </c>
      <c r="L460" s="3">
        <v>45624</v>
      </c>
      <c r="M460" s="2" t="s">
        <v>23</v>
      </c>
      <c r="N460" s="2">
        <v>1487795.84</v>
      </c>
      <c r="O460" s="2" t="s">
        <v>24</v>
      </c>
      <c r="P460" t="str">
        <f>TEXT(Table1[[#This Row],[Transaction Date]],"mmm")</f>
        <v>Nov</v>
      </c>
    </row>
    <row r="461" spans="1:16" ht="15.75" customHeight="1" x14ac:dyDescent="0.3">
      <c r="A461" s="2" t="s">
        <v>1007</v>
      </c>
      <c r="B461" s="2">
        <v>767001</v>
      </c>
      <c r="C461" s="2" t="s">
        <v>1008</v>
      </c>
      <c r="D461" s="2">
        <v>674606333456</v>
      </c>
      <c r="E461" s="2" t="s">
        <v>63</v>
      </c>
      <c r="F461" s="2" t="s">
        <v>165</v>
      </c>
      <c r="G461" s="2" t="s">
        <v>166</v>
      </c>
      <c r="H461" s="2" t="s">
        <v>66</v>
      </c>
      <c r="I461" s="2" t="s">
        <v>21</v>
      </c>
      <c r="J461" s="2">
        <v>540827.56000000006</v>
      </c>
      <c r="K461" s="2" t="s">
        <v>22</v>
      </c>
      <c r="L461" s="3">
        <v>45403</v>
      </c>
      <c r="M461" s="2" t="s">
        <v>23</v>
      </c>
      <c r="N461" s="2">
        <v>1173477.6299999999</v>
      </c>
      <c r="O461" s="2" t="s">
        <v>24</v>
      </c>
      <c r="P461" t="str">
        <f>TEXT(Table1[[#This Row],[Transaction Date]],"mmm")</f>
        <v>Apr</v>
      </c>
    </row>
    <row r="462" spans="1:16" ht="15.75" customHeight="1" x14ac:dyDescent="0.3">
      <c r="A462" s="2" t="s">
        <v>1009</v>
      </c>
      <c r="B462" s="2">
        <v>969821</v>
      </c>
      <c r="C462" s="2" t="s">
        <v>1010</v>
      </c>
      <c r="D462" s="2">
        <v>780902409708</v>
      </c>
      <c r="E462" s="2" t="s">
        <v>34</v>
      </c>
      <c r="F462" s="2" t="s">
        <v>35</v>
      </c>
      <c r="G462" s="2" t="s">
        <v>36</v>
      </c>
      <c r="H462" s="2" t="s">
        <v>69</v>
      </c>
      <c r="I462" s="2" t="s">
        <v>37</v>
      </c>
      <c r="J462" s="2">
        <v>137525.01</v>
      </c>
      <c r="K462" s="2" t="s">
        <v>38</v>
      </c>
      <c r="L462" s="3">
        <v>45322</v>
      </c>
      <c r="M462" s="2" t="s">
        <v>23</v>
      </c>
      <c r="N462" s="2">
        <v>1849118.19</v>
      </c>
      <c r="O462" s="2" t="s">
        <v>24</v>
      </c>
      <c r="P462" t="str">
        <f>TEXT(Table1[[#This Row],[Transaction Date]],"mmm")</f>
        <v>Jan</v>
      </c>
    </row>
    <row r="463" spans="1:16" ht="15.75" customHeight="1" x14ac:dyDescent="0.3">
      <c r="A463" s="2" t="s">
        <v>1011</v>
      </c>
      <c r="B463" s="2">
        <v>567678</v>
      </c>
      <c r="C463" s="2" t="s">
        <v>1012</v>
      </c>
      <c r="D463" s="2">
        <v>441180444719</v>
      </c>
      <c r="E463" s="2" t="s">
        <v>63</v>
      </c>
      <c r="F463" s="2" t="s">
        <v>64</v>
      </c>
      <c r="G463" s="2" t="s">
        <v>65</v>
      </c>
      <c r="H463" s="2" t="s">
        <v>30</v>
      </c>
      <c r="I463" s="2" t="s">
        <v>21</v>
      </c>
      <c r="J463" s="2">
        <v>520051.76</v>
      </c>
      <c r="K463" s="2" t="s">
        <v>38</v>
      </c>
      <c r="L463" s="3">
        <v>45454</v>
      </c>
      <c r="M463" s="2" t="s">
        <v>23</v>
      </c>
      <c r="N463" s="2">
        <v>1715566.76</v>
      </c>
      <c r="O463" s="2" t="s">
        <v>24</v>
      </c>
      <c r="P463" t="str">
        <f>TEXT(Table1[[#This Row],[Transaction Date]],"mmm")</f>
        <v>Jun</v>
      </c>
    </row>
    <row r="464" spans="1:16" ht="15.75" customHeight="1" x14ac:dyDescent="0.3">
      <c r="A464" s="2" t="s">
        <v>1013</v>
      </c>
      <c r="B464" s="2">
        <v>689621</v>
      </c>
      <c r="C464" s="2" t="s">
        <v>1014</v>
      </c>
      <c r="D464" s="2">
        <v>996618159017</v>
      </c>
      <c r="E464" s="2" t="s">
        <v>90</v>
      </c>
      <c r="F464" s="2" t="s">
        <v>129</v>
      </c>
      <c r="G464" s="2" t="s">
        <v>130</v>
      </c>
      <c r="H464" s="2" t="s">
        <v>69</v>
      </c>
      <c r="I464" s="2" t="s">
        <v>47</v>
      </c>
      <c r="J464" s="2">
        <v>163962.70000000001</v>
      </c>
      <c r="K464" s="2" t="s">
        <v>31</v>
      </c>
      <c r="L464" s="3">
        <v>45211</v>
      </c>
      <c r="M464" s="2" t="s">
        <v>23</v>
      </c>
      <c r="N464" s="2">
        <v>2001906.48</v>
      </c>
      <c r="O464" s="2" t="s">
        <v>24</v>
      </c>
      <c r="P464" t="str">
        <f>TEXT(Table1[[#This Row],[Transaction Date]],"mmm")</f>
        <v>Oct</v>
      </c>
    </row>
    <row r="465" spans="1:16" ht="15.75" customHeight="1" x14ac:dyDescent="0.3">
      <c r="A465" s="2" t="s">
        <v>1015</v>
      </c>
      <c r="B465" s="2">
        <v>224857</v>
      </c>
      <c r="C465" s="2" t="s">
        <v>1016</v>
      </c>
      <c r="D465" s="2">
        <v>337595113221</v>
      </c>
      <c r="E465" s="2" t="s">
        <v>63</v>
      </c>
      <c r="F465" s="2" t="s">
        <v>165</v>
      </c>
      <c r="G465" s="2" t="s">
        <v>166</v>
      </c>
      <c r="H465" s="2" t="s">
        <v>30</v>
      </c>
      <c r="I465" s="2" t="s">
        <v>21</v>
      </c>
      <c r="J465" s="2">
        <v>416358.8</v>
      </c>
      <c r="K465" s="2" t="s">
        <v>38</v>
      </c>
      <c r="L465" s="3">
        <v>45700</v>
      </c>
      <c r="M465" s="2" t="s">
        <v>23</v>
      </c>
      <c r="N465" s="2">
        <v>2177281.27</v>
      </c>
      <c r="O465" s="2" t="s">
        <v>24</v>
      </c>
      <c r="P465" t="str">
        <f>TEXT(Table1[[#This Row],[Transaction Date]],"mmm")</f>
        <v>Feb</v>
      </c>
    </row>
    <row r="466" spans="1:16" ht="15.75" customHeight="1" x14ac:dyDescent="0.3">
      <c r="A466" s="2" t="s">
        <v>1017</v>
      </c>
      <c r="B466" s="2">
        <v>240183</v>
      </c>
      <c r="C466" s="2" t="s">
        <v>1018</v>
      </c>
      <c r="D466" s="2">
        <v>781431196996</v>
      </c>
      <c r="E466" s="2" t="s">
        <v>63</v>
      </c>
      <c r="F466" s="2" t="s">
        <v>82</v>
      </c>
      <c r="G466" s="2" t="s">
        <v>83</v>
      </c>
      <c r="H466" s="2" t="s">
        <v>69</v>
      </c>
      <c r="I466" s="2" t="s">
        <v>47</v>
      </c>
      <c r="J466" s="2">
        <v>102467.43</v>
      </c>
      <c r="K466" s="2" t="s">
        <v>97</v>
      </c>
      <c r="L466" s="3">
        <v>45346</v>
      </c>
      <c r="M466" s="2" t="s">
        <v>112</v>
      </c>
      <c r="N466" s="2">
        <v>1069178.8700000001</v>
      </c>
      <c r="O466" s="2" t="s">
        <v>24</v>
      </c>
      <c r="P466" t="str">
        <f>TEXT(Table1[[#This Row],[Transaction Date]],"mmm")</f>
        <v>Feb</v>
      </c>
    </row>
    <row r="467" spans="1:16" ht="15.75" customHeight="1" x14ac:dyDescent="0.3">
      <c r="A467" s="2" t="s">
        <v>1019</v>
      </c>
      <c r="B467" s="2">
        <v>187594</v>
      </c>
      <c r="C467" s="2" t="s">
        <v>1020</v>
      </c>
      <c r="D467" s="2">
        <v>670671711566</v>
      </c>
      <c r="E467" s="2" t="s">
        <v>17</v>
      </c>
      <c r="F467" s="2" t="s">
        <v>18</v>
      </c>
      <c r="G467" s="2" t="s">
        <v>19</v>
      </c>
      <c r="H467" s="2" t="s">
        <v>30</v>
      </c>
      <c r="I467" s="2" t="s">
        <v>52</v>
      </c>
      <c r="J467" s="2">
        <v>442525.87</v>
      </c>
      <c r="K467" s="2" t="s">
        <v>31</v>
      </c>
      <c r="L467" s="3">
        <v>45627</v>
      </c>
      <c r="M467" s="2" t="s">
        <v>23</v>
      </c>
      <c r="N467" s="2">
        <v>1221978.27</v>
      </c>
      <c r="O467" s="2" t="s">
        <v>24</v>
      </c>
      <c r="P467" t="str">
        <f>TEXT(Table1[[#This Row],[Transaction Date]],"mmm")</f>
        <v>Dec</v>
      </c>
    </row>
    <row r="468" spans="1:16" ht="15.75" customHeight="1" x14ac:dyDescent="0.3">
      <c r="A468" s="2" t="s">
        <v>1021</v>
      </c>
      <c r="B468" s="2">
        <v>490738</v>
      </c>
      <c r="C468" s="2" t="s">
        <v>1022</v>
      </c>
      <c r="D468" s="2">
        <v>159475214466</v>
      </c>
      <c r="E468" s="2" t="s">
        <v>17</v>
      </c>
      <c r="F468" s="2" t="s">
        <v>155</v>
      </c>
      <c r="G468" s="2" t="s">
        <v>156</v>
      </c>
      <c r="H468" s="2" t="s">
        <v>69</v>
      </c>
      <c r="I468" s="2" t="s">
        <v>37</v>
      </c>
      <c r="J468" s="2">
        <v>9274.36</v>
      </c>
      <c r="K468" s="2" t="s">
        <v>31</v>
      </c>
      <c r="L468" s="3">
        <v>45401</v>
      </c>
      <c r="M468" s="2" t="s">
        <v>23</v>
      </c>
      <c r="N468" s="2">
        <v>1645111.59</v>
      </c>
      <c r="O468" s="2" t="s">
        <v>24</v>
      </c>
      <c r="P468" t="str">
        <f>TEXT(Table1[[#This Row],[Transaction Date]],"mmm")</f>
        <v>Apr</v>
      </c>
    </row>
    <row r="469" spans="1:16" ht="15.75" customHeight="1" x14ac:dyDescent="0.3">
      <c r="A469" s="2" t="s">
        <v>1023</v>
      </c>
      <c r="B469" s="2">
        <v>186325</v>
      </c>
      <c r="C469" s="2" t="s">
        <v>1024</v>
      </c>
      <c r="D469" s="2">
        <v>760895056386</v>
      </c>
      <c r="E469" s="2" t="s">
        <v>27</v>
      </c>
      <c r="F469" s="2" t="s">
        <v>78</v>
      </c>
      <c r="G469" s="2" t="s">
        <v>79</v>
      </c>
      <c r="H469" s="2" t="s">
        <v>20</v>
      </c>
      <c r="I469" s="2" t="s">
        <v>47</v>
      </c>
      <c r="J469" s="2">
        <v>118082.76</v>
      </c>
      <c r="K469" s="2" t="s">
        <v>22</v>
      </c>
      <c r="L469" s="3">
        <v>45152</v>
      </c>
      <c r="M469" s="2" t="s">
        <v>23</v>
      </c>
      <c r="N469" s="2">
        <v>1846449.16</v>
      </c>
      <c r="O469" s="2" t="s">
        <v>24</v>
      </c>
      <c r="P469" t="str">
        <f>TEXT(Table1[[#This Row],[Transaction Date]],"mmm")</f>
        <v>Aug</v>
      </c>
    </row>
    <row r="470" spans="1:16" ht="15.75" customHeight="1" x14ac:dyDescent="0.3">
      <c r="A470" s="2" t="s">
        <v>1025</v>
      </c>
      <c r="B470" s="2">
        <v>441216</v>
      </c>
      <c r="C470" s="2" t="s">
        <v>1026</v>
      </c>
      <c r="D470" s="2">
        <v>384501417224</v>
      </c>
      <c r="E470" s="2" t="s">
        <v>90</v>
      </c>
      <c r="F470" s="2" t="s">
        <v>104</v>
      </c>
      <c r="G470" s="2" t="s">
        <v>105</v>
      </c>
      <c r="H470" s="2" t="s">
        <v>66</v>
      </c>
      <c r="I470" s="2" t="s">
        <v>52</v>
      </c>
      <c r="J470" s="2">
        <v>15002.6</v>
      </c>
      <c r="K470" s="2" t="s">
        <v>48</v>
      </c>
      <c r="L470" s="3">
        <v>45167</v>
      </c>
      <c r="M470" s="2" t="s">
        <v>23</v>
      </c>
      <c r="N470" s="2">
        <v>426860.72</v>
      </c>
      <c r="O470" s="2" t="s">
        <v>24</v>
      </c>
      <c r="P470" t="str">
        <f>TEXT(Table1[[#This Row],[Transaction Date]],"mmm")</f>
        <v>Aug</v>
      </c>
    </row>
    <row r="471" spans="1:16" ht="15.75" customHeight="1" x14ac:dyDescent="0.3">
      <c r="A471" s="2" t="s">
        <v>1027</v>
      </c>
      <c r="B471" s="2">
        <v>415091</v>
      </c>
      <c r="C471" s="2" t="s">
        <v>1028</v>
      </c>
      <c r="D471" s="2">
        <v>582715807001</v>
      </c>
      <c r="E471" s="2" t="s">
        <v>90</v>
      </c>
      <c r="F471" s="2" t="s">
        <v>161</v>
      </c>
      <c r="G471" s="2" t="s">
        <v>162</v>
      </c>
      <c r="H471" s="2" t="s">
        <v>30</v>
      </c>
      <c r="I471" s="2" t="s">
        <v>52</v>
      </c>
      <c r="J471" s="2">
        <v>186304.69</v>
      </c>
      <c r="K471" s="2" t="s">
        <v>48</v>
      </c>
      <c r="L471" s="3">
        <v>45467</v>
      </c>
      <c r="M471" s="2" t="s">
        <v>23</v>
      </c>
      <c r="N471" s="2">
        <v>558204.13</v>
      </c>
      <c r="O471" s="2" t="s">
        <v>24</v>
      </c>
      <c r="P471" t="str">
        <f>TEXT(Table1[[#This Row],[Transaction Date]],"mmm")</f>
        <v>Jun</v>
      </c>
    </row>
    <row r="472" spans="1:16" ht="15.75" customHeight="1" x14ac:dyDescent="0.3">
      <c r="A472" s="2" t="s">
        <v>1029</v>
      </c>
      <c r="B472" s="2">
        <v>647451</v>
      </c>
      <c r="C472" s="2" t="s">
        <v>1030</v>
      </c>
      <c r="D472" s="2">
        <v>908575564799</v>
      </c>
      <c r="E472" s="2" t="s">
        <v>27</v>
      </c>
      <c r="F472" s="2" t="s">
        <v>78</v>
      </c>
      <c r="G472" s="2" t="s">
        <v>79</v>
      </c>
      <c r="H472" s="2" t="s">
        <v>66</v>
      </c>
      <c r="I472" s="2" t="s">
        <v>52</v>
      </c>
      <c r="J472" s="2">
        <v>305720.05</v>
      </c>
      <c r="K472" s="2" t="s">
        <v>48</v>
      </c>
      <c r="L472" s="3">
        <v>45698</v>
      </c>
      <c r="M472" s="2" t="s">
        <v>112</v>
      </c>
      <c r="N472" s="2">
        <v>1570752.15</v>
      </c>
      <c r="O472" s="2" t="s">
        <v>24</v>
      </c>
      <c r="P472" t="str">
        <f>TEXT(Table1[[#This Row],[Transaction Date]],"mmm")</f>
        <v>Feb</v>
      </c>
    </row>
    <row r="473" spans="1:16" ht="15.75" customHeight="1" x14ac:dyDescent="0.3">
      <c r="A473" s="2" t="s">
        <v>1031</v>
      </c>
      <c r="B473" s="2">
        <v>313682</v>
      </c>
      <c r="C473" s="2" t="s">
        <v>1032</v>
      </c>
      <c r="D473" s="2">
        <v>975793031886</v>
      </c>
      <c r="E473" s="2" t="s">
        <v>34</v>
      </c>
      <c r="F473" s="2" t="s">
        <v>35</v>
      </c>
      <c r="G473" s="2" t="s">
        <v>36</v>
      </c>
      <c r="H473" s="2" t="s">
        <v>69</v>
      </c>
      <c r="I473" s="2" t="s">
        <v>52</v>
      </c>
      <c r="J473" s="2">
        <v>94684.54</v>
      </c>
      <c r="K473" s="2" t="s">
        <v>48</v>
      </c>
      <c r="L473" s="3">
        <v>45521</v>
      </c>
      <c r="M473" s="2" t="s">
        <v>23</v>
      </c>
      <c r="N473" s="2">
        <v>481839.38</v>
      </c>
      <c r="O473" s="2" t="s">
        <v>24</v>
      </c>
      <c r="P473" t="str">
        <f>TEXT(Table1[[#This Row],[Transaction Date]],"mmm")</f>
        <v>Aug</v>
      </c>
    </row>
    <row r="474" spans="1:16" ht="15.75" customHeight="1" x14ac:dyDescent="0.3">
      <c r="A474" s="2" t="s">
        <v>1033</v>
      </c>
      <c r="B474" s="2">
        <v>896301</v>
      </c>
      <c r="C474" s="2" t="s">
        <v>1034</v>
      </c>
      <c r="D474" s="2">
        <v>434355404660</v>
      </c>
      <c r="E474" s="2" t="s">
        <v>90</v>
      </c>
      <c r="F474" s="2" t="s">
        <v>108</v>
      </c>
      <c r="G474" s="2" t="s">
        <v>109</v>
      </c>
      <c r="H474" s="2" t="s">
        <v>30</v>
      </c>
      <c r="I474" s="2" t="s">
        <v>52</v>
      </c>
      <c r="J474" s="2">
        <v>266228.63</v>
      </c>
      <c r="K474" s="2" t="s">
        <v>48</v>
      </c>
      <c r="L474" s="3">
        <v>45724</v>
      </c>
      <c r="M474" s="2" t="s">
        <v>23</v>
      </c>
      <c r="N474" s="2">
        <v>1677551.8</v>
      </c>
      <c r="O474" s="2" t="s">
        <v>24</v>
      </c>
      <c r="P474" t="str">
        <f>TEXT(Table1[[#This Row],[Transaction Date]],"mmm")</f>
        <v>Mar</v>
      </c>
    </row>
    <row r="475" spans="1:16" ht="15.75" customHeight="1" x14ac:dyDescent="0.3">
      <c r="A475" s="2" t="s">
        <v>1035</v>
      </c>
      <c r="B475" s="2">
        <v>675784</v>
      </c>
      <c r="C475" s="2" t="s">
        <v>1036</v>
      </c>
      <c r="D475" s="2">
        <v>788941069391</v>
      </c>
      <c r="E475" s="2" t="s">
        <v>17</v>
      </c>
      <c r="F475" s="2" t="s">
        <v>86</v>
      </c>
      <c r="G475" s="2" t="s">
        <v>87</v>
      </c>
      <c r="H475" s="2" t="s">
        <v>20</v>
      </c>
      <c r="I475" s="2" t="s">
        <v>37</v>
      </c>
      <c r="J475" s="2">
        <v>103723.98</v>
      </c>
      <c r="K475" s="2" t="s">
        <v>97</v>
      </c>
      <c r="L475" s="3">
        <v>45639</v>
      </c>
      <c r="M475" s="2" t="s">
        <v>23</v>
      </c>
      <c r="N475" s="2">
        <v>102204.71</v>
      </c>
      <c r="O475" s="2" t="s">
        <v>24</v>
      </c>
      <c r="P475" t="str">
        <f>TEXT(Table1[[#This Row],[Transaction Date]],"mmm")</f>
        <v>Dec</v>
      </c>
    </row>
    <row r="476" spans="1:16" ht="15.75" customHeight="1" x14ac:dyDescent="0.3">
      <c r="A476" s="2" t="s">
        <v>1037</v>
      </c>
      <c r="B476" s="2">
        <v>555371</v>
      </c>
      <c r="C476" s="2" t="s">
        <v>1038</v>
      </c>
      <c r="D476" s="2">
        <v>229471966150</v>
      </c>
      <c r="E476" s="2" t="s">
        <v>34</v>
      </c>
      <c r="F476" s="2" t="s">
        <v>72</v>
      </c>
      <c r="G476" s="2" t="s">
        <v>73</v>
      </c>
      <c r="H476" s="2" t="s">
        <v>69</v>
      </c>
      <c r="I476" s="2" t="s">
        <v>37</v>
      </c>
      <c r="J476" s="2">
        <v>82951.97</v>
      </c>
      <c r="K476" s="2" t="s">
        <v>38</v>
      </c>
      <c r="L476" s="3">
        <v>45260</v>
      </c>
      <c r="M476" s="2" t="s">
        <v>23</v>
      </c>
      <c r="N476" s="2">
        <v>1906817.37</v>
      </c>
      <c r="O476" s="2" t="s">
        <v>24</v>
      </c>
      <c r="P476" t="str">
        <f>TEXT(Table1[[#This Row],[Transaction Date]],"mmm")</f>
        <v>Nov</v>
      </c>
    </row>
    <row r="477" spans="1:16" ht="15.75" customHeight="1" x14ac:dyDescent="0.3">
      <c r="A477" s="2" t="s">
        <v>1039</v>
      </c>
      <c r="B477" s="2">
        <v>718015</v>
      </c>
      <c r="C477" s="2" t="s">
        <v>1040</v>
      </c>
      <c r="D477" s="2">
        <v>312934784546</v>
      </c>
      <c r="E477" s="2" t="s">
        <v>34</v>
      </c>
      <c r="F477" s="2" t="s">
        <v>72</v>
      </c>
      <c r="G477" s="2" t="s">
        <v>73</v>
      </c>
      <c r="H477" s="2" t="s">
        <v>30</v>
      </c>
      <c r="I477" s="2" t="s">
        <v>52</v>
      </c>
      <c r="J477" s="2">
        <v>90532.41</v>
      </c>
      <c r="K477" s="2" t="s">
        <v>97</v>
      </c>
      <c r="L477" s="3">
        <v>45470</v>
      </c>
      <c r="M477" s="2" t="s">
        <v>23</v>
      </c>
      <c r="N477" s="2">
        <v>1284948.74</v>
      </c>
      <c r="O477" s="2" t="s">
        <v>24</v>
      </c>
      <c r="P477" t="str">
        <f>TEXT(Table1[[#This Row],[Transaction Date]],"mmm")</f>
        <v>Jun</v>
      </c>
    </row>
    <row r="478" spans="1:16" ht="15.75" customHeight="1" x14ac:dyDescent="0.3">
      <c r="A478" s="2" t="s">
        <v>1041</v>
      </c>
      <c r="B478" s="2">
        <v>303217</v>
      </c>
      <c r="C478" s="2" t="s">
        <v>1042</v>
      </c>
      <c r="D478" s="2">
        <v>628667719492</v>
      </c>
      <c r="E478" s="2" t="s">
        <v>63</v>
      </c>
      <c r="F478" s="2" t="s">
        <v>176</v>
      </c>
      <c r="G478" s="2" t="s">
        <v>177</v>
      </c>
      <c r="H478" s="2" t="s">
        <v>20</v>
      </c>
      <c r="I478" s="2" t="s">
        <v>52</v>
      </c>
      <c r="J478" s="2">
        <v>25585.29</v>
      </c>
      <c r="K478" s="2" t="s">
        <v>31</v>
      </c>
      <c r="L478" s="3">
        <v>45122</v>
      </c>
      <c r="M478" s="2" t="s">
        <v>23</v>
      </c>
      <c r="N478" s="2">
        <v>1386616.39</v>
      </c>
      <c r="O478" s="2" t="s">
        <v>24</v>
      </c>
      <c r="P478" t="str">
        <f>TEXT(Table1[[#This Row],[Transaction Date]],"mmm")</f>
        <v>Jul</v>
      </c>
    </row>
    <row r="479" spans="1:16" ht="15.75" customHeight="1" x14ac:dyDescent="0.3">
      <c r="A479" s="2" t="s">
        <v>1043</v>
      </c>
      <c r="B479" s="2">
        <v>946247</v>
      </c>
      <c r="C479" s="2" t="s">
        <v>1044</v>
      </c>
      <c r="D479" s="2">
        <v>800614144292</v>
      </c>
      <c r="E479" s="2" t="s">
        <v>34</v>
      </c>
      <c r="F479" s="2" t="s">
        <v>35</v>
      </c>
      <c r="G479" s="2" t="s">
        <v>36</v>
      </c>
      <c r="H479" s="2" t="s">
        <v>66</v>
      </c>
      <c r="I479" s="2" t="s">
        <v>52</v>
      </c>
      <c r="J479" s="2">
        <v>84085.59</v>
      </c>
      <c r="K479" s="2" t="s">
        <v>48</v>
      </c>
      <c r="L479" s="3">
        <v>45268</v>
      </c>
      <c r="M479" s="2" t="s">
        <v>23</v>
      </c>
      <c r="N479" s="2">
        <v>2036998.71</v>
      </c>
      <c r="O479" s="2" t="s">
        <v>24</v>
      </c>
      <c r="P479" t="str">
        <f>TEXT(Table1[[#This Row],[Transaction Date]],"mmm")</f>
        <v>Dec</v>
      </c>
    </row>
    <row r="480" spans="1:16" ht="15.75" customHeight="1" x14ac:dyDescent="0.3">
      <c r="A480" s="2" t="s">
        <v>1045</v>
      </c>
      <c r="B480" s="2">
        <v>613463</v>
      </c>
      <c r="C480" s="2" t="s">
        <v>1046</v>
      </c>
      <c r="D480" s="2">
        <v>350731897846</v>
      </c>
      <c r="E480" s="2" t="s">
        <v>17</v>
      </c>
      <c r="F480" s="2" t="s">
        <v>18</v>
      </c>
      <c r="G480" s="2" t="s">
        <v>19</v>
      </c>
      <c r="H480" s="2" t="s">
        <v>20</v>
      </c>
      <c r="I480" s="2" t="s">
        <v>52</v>
      </c>
      <c r="J480" s="2">
        <v>257896.04</v>
      </c>
      <c r="K480" s="2" t="s">
        <v>38</v>
      </c>
      <c r="L480" s="3">
        <v>45607</v>
      </c>
      <c r="M480" s="2" t="s">
        <v>167</v>
      </c>
      <c r="N480" s="2">
        <v>333007.69</v>
      </c>
      <c r="O480" s="2" t="s">
        <v>24</v>
      </c>
      <c r="P480" t="str">
        <f>TEXT(Table1[[#This Row],[Transaction Date]],"mmm")</f>
        <v>Nov</v>
      </c>
    </row>
    <row r="481" spans="1:16" ht="15.75" customHeight="1" x14ac:dyDescent="0.3">
      <c r="A481" s="2" t="s">
        <v>1047</v>
      </c>
      <c r="B481" s="2">
        <v>153582</v>
      </c>
      <c r="C481" s="2" t="s">
        <v>1048</v>
      </c>
      <c r="D481" s="2">
        <v>830198079057</v>
      </c>
      <c r="E481" s="2" t="s">
        <v>90</v>
      </c>
      <c r="F481" s="2" t="s">
        <v>91</v>
      </c>
      <c r="G481" s="2" t="s">
        <v>92</v>
      </c>
      <c r="H481" s="2" t="s">
        <v>69</v>
      </c>
      <c r="I481" s="2" t="s">
        <v>47</v>
      </c>
      <c r="J481" s="2">
        <v>142440</v>
      </c>
      <c r="K481" s="2" t="s">
        <v>31</v>
      </c>
      <c r="L481" s="3">
        <v>45560</v>
      </c>
      <c r="M481" s="2" t="s">
        <v>49</v>
      </c>
      <c r="N481" s="2">
        <v>778782.49</v>
      </c>
      <c r="O481" s="2" t="s">
        <v>24</v>
      </c>
      <c r="P481" t="str">
        <f>TEXT(Table1[[#This Row],[Transaction Date]],"mmm")</f>
        <v>Sep</v>
      </c>
    </row>
    <row r="482" spans="1:16" ht="15.75" customHeight="1" x14ac:dyDescent="0.3">
      <c r="A482" s="2" t="s">
        <v>1049</v>
      </c>
      <c r="B482" s="2">
        <v>100803</v>
      </c>
      <c r="C482" s="2" t="s">
        <v>1050</v>
      </c>
      <c r="D482" s="2">
        <v>343430050066</v>
      </c>
      <c r="E482" s="2" t="s">
        <v>17</v>
      </c>
      <c r="F482" s="2" t="s">
        <v>18</v>
      </c>
      <c r="G482" s="2" t="s">
        <v>19</v>
      </c>
      <c r="H482" s="2" t="s">
        <v>20</v>
      </c>
      <c r="I482" s="2" t="s">
        <v>47</v>
      </c>
      <c r="J482" s="2">
        <v>103601.04</v>
      </c>
      <c r="K482" s="2" t="s">
        <v>38</v>
      </c>
      <c r="L482" s="3">
        <v>45181</v>
      </c>
      <c r="M482" s="2" t="s">
        <v>23</v>
      </c>
      <c r="N482" s="2">
        <v>536358.44999999995</v>
      </c>
      <c r="O482" s="2" t="s">
        <v>24</v>
      </c>
      <c r="P482" t="str">
        <f>TEXT(Table1[[#This Row],[Transaction Date]],"mmm")</f>
        <v>Sep</v>
      </c>
    </row>
    <row r="483" spans="1:16" ht="15.75" customHeight="1" x14ac:dyDescent="0.3">
      <c r="A483" s="2" t="s">
        <v>1051</v>
      </c>
      <c r="B483" s="2">
        <v>520243</v>
      </c>
      <c r="C483" s="2" t="s">
        <v>1052</v>
      </c>
      <c r="D483" s="2">
        <v>340851237938</v>
      </c>
      <c r="E483" s="2" t="s">
        <v>27</v>
      </c>
      <c r="F483" s="2" t="s">
        <v>149</v>
      </c>
      <c r="G483" s="2" t="s">
        <v>150</v>
      </c>
      <c r="H483" s="2" t="s">
        <v>30</v>
      </c>
      <c r="I483" s="2" t="s">
        <v>21</v>
      </c>
      <c r="J483" s="2">
        <v>556413.30000000005</v>
      </c>
      <c r="K483" s="2" t="s">
        <v>38</v>
      </c>
      <c r="L483" s="3">
        <v>45825</v>
      </c>
      <c r="M483" s="2" t="s">
        <v>23</v>
      </c>
      <c r="N483" s="2">
        <v>1461132.13</v>
      </c>
      <c r="O483" s="2" t="s">
        <v>24</v>
      </c>
      <c r="P483" t="str">
        <f>TEXT(Table1[[#This Row],[Transaction Date]],"mmm")</f>
        <v>Jun</v>
      </c>
    </row>
    <row r="484" spans="1:16" ht="15.75" customHeight="1" x14ac:dyDescent="0.3">
      <c r="A484" s="2" t="s">
        <v>1053</v>
      </c>
      <c r="B484" s="2">
        <v>314894</v>
      </c>
      <c r="C484" s="2" t="s">
        <v>1054</v>
      </c>
      <c r="D484" s="2">
        <v>751158319736</v>
      </c>
      <c r="E484" s="2" t="s">
        <v>63</v>
      </c>
      <c r="F484" s="2" t="s">
        <v>176</v>
      </c>
      <c r="G484" s="2" t="s">
        <v>177</v>
      </c>
      <c r="H484" s="2" t="s">
        <v>66</v>
      </c>
      <c r="I484" s="2" t="s">
        <v>47</v>
      </c>
      <c r="J484" s="2">
        <v>4495.21</v>
      </c>
      <c r="K484" s="2" t="s">
        <v>31</v>
      </c>
      <c r="L484" s="3">
        <v>45185</v>
      </c>
      <c r="M484" s="2" t="s">
        <v>23</v>
      </c>
      <c r="N484" s="2">
        <v>275353.39</v>
      </c>
      <c r="O484" s="2" t="s">
        <v>24</v>
      </c>
      <c r="P484" t="str">
        <f>TEXT(Table1[[#This Row],[Transaction Date]],"mmm")</f>
        <v>Sep</v>
      </c>
    </row>
    <row r="485" spans="1:16" ht="15.75" customHeight="1" x14ac:dyDescent="0.3">
      <c r="A485" s="2" t="s">
        <v>1055</v>
      </c>
      <c r="B485" s="2">
        <v>779817</v>
      </c>
      <c r="C485" s="2" t="s">
        <v>1056</v>
      </c>
      <c r="D485" s="2">
        <v>549818142528</v>
      </c>
      <c r="E485" s="2" t="s">
        <v>17</v>
      </c>
      <c r="F485" s="2" t="s">
        <v>45</v>
      </c>
      <c r="G485" s="2" t="s">
        <v>46</v>
      </c>
      <c r="H485" s="2" t="s">
        <v>20</v>
      </c>
      <c r="I485" s="2" t="s">
        <v>21</v>
      </c>
      <c r="J485" s="2">
        <v>125743.7</v>
      </c>
      <c r="K485" s="2" t="s">
        <v>38</v>
      </c>
      <c r="L485" s="3">
        <v>45624</v>
      </c>
      <c r="M485" s="2" t="s">
        <v>49</v>
      </c>
      <c r="N485" s="2">
        <v>1452499.81</v>
      </c>
      <c r="O485" s="2" t="s">
        <v>24</v>
      </c>
      <c r="P485" t="str">
        <f>TEXT(Table1[[#This Row],[Transaction Date]],"mmm")</f>
        <v>Nov</v>
      </c>
    </row>
    <row r="486" spans="1:16" ht="15.75" customHeight="1" x14ac:dyDescent="0.3">
      <c r="A486" s="2" t="s">
        <v>1057</v>
      </c>
      <c r="B486" s="2">
        <v>682271</v>
      </c>
      <c r="C486" s="2" t="s">
        <v>1058</v>
      </c>
      <c r="D486" s="2">
        <v>911510411130</v>
      </c>
      <c r="E486" s="2" t="s">
        <v>17</v>
      </c>
      <c r="F486" s="2" t="s">
        <v>155</v>
      </c>
      <c r="G486" s="2" t="s">
        <v>156</v>
      </c>
      <c r="H486" s="2" t="s">
        <v>69</v>
      </c>
      <c r="I486" s="2" t="s">
        <v>21</v>
      </c>
      <c r="J486" s="2">
        <v>420581.41</v>
      </c>
      <c r="K486" s="2" t="s">
        <v>97</v>
      </c>
      <c r="L486" s="3">
        <v>45699</v>
      </c>
      <c r="M486" s="2" t="s">
        <v>23</v>
      </c>
      <c r="N486" s="2">
        <v>893133.07</v>
      </c>
      <c r="O486" s="2" t="s">
        <v>24</v>
      </c>
      <c r="P486" t="str">
        <f>TEXT(Table1[[#This Row],[Transaction Date]],"mmm")</f>
        <v>Feb</v>
      </c>
    </row>
    <row r="487" spans="1:16" ht="15.75" customHeight="1" x14ac:dyDescent="0.3">
      <c r="A487" s="2" t="s">
        <v>1059</v>
      </c>
      <c r="B487" s="2">
        <v>132455</v>
      </c>
      <c r="C487" s="2" t="s">
        <v>1060</v>
      </c>
      <c r="D487" s="2">
        <v>378333556205</v>
      </c>
      <c r="E487" s="2" t="s">
        <v>90</v>
      </c>
      <c r="F487" s="2" t="s">
        <v>161</v>
      </c>
      <c r="G487" s="2" t="s">
        <v>162</v>
      </c>
      <c r="H487" s="2" t="s">
        <v>69</v>
      </c>
      <c r="I487" s="2" t="s">
        <v>37</v>
      </c>
      <c r="J487" s="2">
        <v>49848.98</v>
      </c>
      <c r="K487" s="2" t="s">
        <v>48</v>
      </c>
      <c r="L487" s="3">
        <v>45438</v>
      </c>
      <c r="M487" s="2" t="s">
        <v>23</v>
      </c>
      <c r="N487" s="2">
        <v>1288147.47</v>
      </c>
      <c r="O487" s="2" t="s">
        <v>24</v>
      </c>
      <c r="P487" t="str">
        <f>TEXT(Table1[[#This Row],[Transaction Date]],"mmm")</f>
        <v>May</v>
      </c>
    </row>
    <row r="488" spans="1:16" ht="15.75" customHeight="1" x14ac:dyDescent="0.3">
      <c r="A488" s="2" t="s">
        <v>1061</v>
      </c>
      <c r="B488" s="2">
        <v>568353</v>
      </c>
      <c r="C488" s="2" t="s">
        <v>1062</v>
      </c>
      <c r="D488" s="2">
        <v>143654336794</v>
      </c>
      <c r="E488" s="2" t="s">
        <v>63</v>
      </c>
      <c r="F488" s="2" t="s">
        <v>145</v>
      </c>
      <c r="G488" s="2" t="s">
        <v>146</v>
      </c>
      <c r="H488" s="2" t="s">
        <v>30</v>
      </c>
      <c r="I488" s="2" t="s">
        <v>21</v>
      </c>
      <c r="J488" s="2">
        <v>197544.78</v>
      </c>
      <c r="K488" s="2" t="s">
        <v>48</v>
      </c>
      <c r="L488" s="3">
        <v>45207</v>
      </c>
      <c r="M488" s="2" t="s">
        <v>167</v>
      </c>
      <c r="N488" s="2">
        <v>868558.72</v>
      </c>
      <c r="O488" s="2" t="s">
        <v>24</v>
      </c>
      <c r="P488" t="str">
        <f>TEXT(Table1[[#This Row],[Transaction Date]],"mmm")</f>
        <v>Oct</v>
      </c>
    </row>
    <row r="489" spans="1:16" ht="15.75" customHeight="1" x14ac:dyDescent="0.3">
      <c r="A489" s="2" t="s">
        <v>1063</v>
      </c>
      <c r="B489" s="2">
        <v>802444</v>
      </c>
      <c r="C489" s="2" t="s">
        <v>1064</v>
      </c>
      <c r="D489" s="2">
        <v>582762750258</v>
      </c>
      <c r="E489" s="2" t="s">
        <v>27</v>
      </c>
      <c r="F489" s="2" t="s">
        <v>191</v>
      </c>
      <c r="G489" s="2" t="s">
        <v>192</v>
      </c>
      <c r="H489" s="2" t="s">
        <v>66</v>
      </c>
      <c r="I489" s="2" t="s">
        <v>37</v>
      </c>
      <c r="J489" s="2">
        <v>141177.64000000001</v>
      </c>
      <c r="K489" s="2" t="s">
        <v>22</v>
      </c>
      <c r="L489" s="3">
        <v>45587</v>
      </c>
      <c r="M489" s="2" t="s">
        <v>23</v>
      </c>
      <c r="N489" s="2">
        <v>1843493.98</v>
      </c>
      <c r="O489" s="2" t="s">
        <v>24</v>
      </c>
      <c r="P489" t="str">
        <f>TEXT(Table1[[#This Row],[Transaction Date]],"mmm")</f>
        <v>Oct</v>
      </c>
    </row>
    <row r="490" spans="1:16" ht="15.75" customHeight="1" x14ac:dyDescent="0.3">
      <c r="A490" s="2" t="s">
        <v>1065</v>
      </c>
      <c r="B490" s="2">
        <v>978548</v>
      </c>
      <c r="C490" s="2" t="s">
        <v>1066</v>
      </c>
      <c r="D490" s="2">
        <v>331032149981</v>
      </c>
      <c r="E490" s="2" t="s">
        <v>63</v>
      </c>
      <c r="F490" s="2" t="s">
        <v>82</v>
      </c>
      <c r="G490" s="2" t="s">
        <v>83</v>
      </c>
      <c r="H490" s="2" t="s">
        <v>66</v>
      </c>
      <c r="I490" s="2" t="s">
        <v>21</v>
      </c>
      <c r="J490" s="2">
        <v>50422.44</v>
      </c>
      <c r="K490" s="2" t="s">
        <v>97</v>
      </c>
      <c r="L490" s="3">
        <v>45670</v>
      </c>
      <c r="M490" s="2" t="s">
        <v>23</v>
      </c>
      <c r="N490" s="2">
        <v>322201.67</v>
      </c>
      <c r="O490" s="2" t="s">
        <v>24</v>
      </c>
      <c r="P490" t="str">
        <f>TEXT(Table1[[#This Row],[Transaction Date]],"mmm")</f>
        <v>Jan</v>
      </c>
    </row>
    <row r="491" spans="1:16" ht="15.75" customHeight="1" x14ac:dyDescent="0.3">
      <c r="A491" s="2" t="s">
        <v>1067</v>
      </c>
      <c r="B491" s="2">
        <v>851257</v>
      </c>
      <c r="C491" s="2" t="s">
        <v>1068</v>
      </c>
      <c r="D491" s="2">
        <v>990997552935</v>
      </c>
      <c r="E491" s="2" t="s">
        <v>34</v>
      </c>
      <c r="F491" s="2" t="s">
        <v>72</v>
      </c>
      <c r="G491" s="2" t="s">
        <v>73</v>
      </c>
      <c r="H491" s="2" t="s">
        <v>69</v>
      </c>
      <c r="I491" s="2" t="s">
        <v>52</v>
      </c>
      <c r="J491" s="2">
        <v>342132.86</v>
      </c>
      <c r="K491" s="2" t="s">
        <v>22</v>
      </c>
      <c r="L491" s="3">
        <v>45164</v>
      </c>
      <c r="M491" s="2" t="s">
        <v>23</v>
      </c>
      <c r="N491" s="2">
        <v>884872.35</v>
      </c>
      <c r="O491" s="2" t="s">
        <v>24</v>
      </c>
      <c r="P491" t="str">
        <f>TEXT(Table1[[#This Row],[Transaction Date]],"mmm")</f>
        <v>Aug</v>
      </c>
    </row>
    <row r="492" spans="1:16" ht="15.75" customHeight="1" x14ac:dyDescent="0.3">
      <c r="A492" s="2" t="s">
        <v>1069</v>
      </c>
      <c r="B492" s="2">
        <v>795373</v>
      </c>
      <c r="C492" s="2" t="s">
        <v>1070</v>
      </c>
      <c r="D492" s="2">
        <v>289850951999</v>
      </c>
      <c r="E492" s="2" t="s">
        <v>27</v>
      </c>
      <c r="F492" s="2" t="s">
        <v>78</v>
      </c>
      <c r="G492" s="2" t="s">
        <v>79</v>
      </c>
      <c r="H492" s="2" t="s">
        <v>30</v>
      </c>
      <c r="I492" s="2" t="s">
        <v>47</v>
      </c>
      <c r="J492" s="2">
        <v>232001.45</v>
      </c>
      <c r="K492" s="2" t="s">
        <v>48</v>
      </c>
      <c r="L492" s="3">
        <v>45680</v>
      </c>
      <c r="M492" s="2" t="s">
        <v>23</v>
      </c>
      <c r="N492" s="2">
        <v>669999.41</v>
      </c>
      <c r="O492" s="2" t="s">
        <v>24</v>
      </c>
      <c r="P492" t="str">
        <f>TEXT(Table1[[#This Row],[Transaction Date]],"mmm")</f>
        <v>Jan</v>
      </c>
    </row>
    <row r="493" spans="1:16" ht="15.75" customHeight="1" x14ac:dyDescent="0.3">
      <c r="A493" s="2" t="s">
        <v>1071</v>
      </c>
      <c r="B493" s="2">
        <v>117914</v>
      </c>
      <c r="C493" s="2" t="s">
        <v>1072</v>
      </c>
      <c r="D493" s="2">
        <v>764425244728</v>
      </c>
      <c r="E493" s="2" t="s">
        <v>17</v>
      </c>
      <c r="F493" s="2" t="s">
        <v>55</v>
      </c>
      <c r="G493" s="2" t="s">
        <v>56</v>
      </c>
      <c r="H493" s="2" t="s">
        <v>30</v>
      </c>
      <c r="I493" s="2" t="s">
        <v>37</v>
      </c>
      <c r="J493" s="2">
        <v>109038.03</v>
      </c>
      <c r="K493" s="2" t="s">
        <v>97</v>
      </c>
      <c r="L493" s="3">
        <v>45303</v>
      </c>
      <c r="M493" s="2" t="s">
        <v>23</v>
      </c>
      <c r="N493" s="2">
        <v>1219596.98</v>
      </c>
      <c r="O493" s="2" t="s">
        <v>24</v>
      </c>
      <c r="P493" t="str">
        <f>TEXT(Table1[[#This Row],[Transaction Date]],"mmm")</f>
        <v>Jan</v>
      </c>
    </row>
    <row r="494" spans="1:16" ht="15.75" customHeight="1" x14ac:dyDescent="0.3">
      <c r="A494" s="2" t="s">
        <v>1073</v>
      </c>
      <c r="B494" s="2">
        <v>648879</v>
      </c>
      <c r="C494" s="2" t="s">
        <v>1074</v>
      </c>
      <c r="D494" s="2">
        <v>504085367461</v>
      </c>
      <c r="E494" s="2" t="s">
        <v>90</v>
      </c>
      <c r="F494" s="2" t="s">
        <v>91</v>
      </c>
      <c r="G494" s="2" t="s">
        <v>92</v>
      </c>
      <c r="H494" s="2" t="s">
        <v>66</v>
      </c>
      <c r="I494" s="2" t="s">
        <v>52</v>
      </c>
      <c r="J494" s="2">
        <v>475452.83</v>
      </c>
      <c r="K494" s="2" t="s">
        <v>38</v>
      </c>
      <c r="L494" s="3">
        <v>45256</v>
      </c>
      <c r="M494" s="2" t="s">
        <v>112</v>
      </c>
      <c r="N494" s="2">
        <v>917029.60000000009</v>
      </c>
      <c r="O494" s="2" t="s">
        <v>24</v>
      </c>
      <c r="P494" t="str">
        <f>TEXT(Table1[[#This Row],[Transaction Date]],"mmm")</f>
        <v>Nov</v>
      </c>
    </row>
    <row r="495" spans="1:16" ht="15.75" customHeight="1" x14ac:dyDescent="0.3">
      <c r="A495" s="2" t="s">
        <v>1075</v>
      </c>
      <c r="B495" s="2">
        <v>128077</v>
      </c>
      <c r="C495" s="2" t="s">
        <v>1076</v>
      </c>
      <c r="D495" s="2">
        <v>252386211751</v>
      </c>
      <c r="E495" s="2" t="s">
        <v>27</v>
      </c>
      <c r="F495" s="2" t="s">
        <v>191</v>
      </c>
      <c r="G495" s="2" t="s">
        <v>192</v>
      </c>
      <c r="H495" s="2" t="s">
        <v>69</v>
      </c>
      <c r="I495" s="2" t="s">
        <v>47</v>
      </c>
      <c r="J495" s="2">
        <v>281600.58</v>
      </c>
      <c r="K495" s="2" t="s">
        <v>22</v>
      </c>
      <c r="L495" s="3">
        <v>45150</v>
      </c>
      <c r="M495" s="2" t="s">
        <v>23</v>
      </c>
      <c r="N495" s="2">
        <v>2051395.59</v>
      </c>
      <c r="O495" s="2" t="s">
        <v>24</v>
      </c>
      <c r="P495" t="str">
        <f>TEXT(Table1[[#This Row],[Transaction Date]],"mmm")</f>
        <v>Aug</v>
      </c>
    </row>
    <row r="496" spans="1:16" ht="15.75" customHeight="1" x14ac:dyDescent="0.3">
      <c r="A496" s="2" t="s">
        <v>1077</v>
      </c>
      <c r="B496" s="2">
        <v>882387</v>
      </c>
      <c r="C496" s="2" t="s">
        <v>1078</v>
      </c>
      <c r="D496" s="2">
        <v>732722911089</v>
      </c>
      <c r="E496" s="2" t="s">
        <v>34</v>
      </c>
      <c r="F496" s="2" t="s">
        <v>41</v>
      </c>
      <c r="G496" s="2" t="s">
        <v>42</v>
      </c>
      <c r="H496" s="2" t="s">
        <v>20</v>
      </c>
      <c r="I496" s="2" t="s">
        <v>47</v>
      </c>
      <c r="J496" s="2">
        <v>44124.36</v>
      </c>
      <c r="K496" s="2" t="s">
        <v>97</v>
      </c>
      <c r="L496" s="3">
        <v>45597</v>
      </c>
      <c r="M496" s="2" t="s">
        <v>167</v>
      </c>
      <c r="N496" s="2">
        <v>1627631.54</v>
      </c>
      <c r="O496" s="2" t="s">
        <v>24</v>
      </c>
      <c r="P496" t="str">
        <f>TEXT(Table1[[#This Row],[Transaction Date]],"mmm")</f>
        <v>Nov</v>
      </c>
    </row>
    <row r="497" spans="1:16" ht="15.75" customHeight="1" x14ac:dyDescent="0.3">
      <c r="A497" s="2" t="s">
        <v>1079</v>
      </c>
      <c r="B497" s="2">
        <v>372576</v>
      </c>
      <c r="C497" s="2" t="s">
        <v>1080</v>
      </c>
      <c r="D497" s="2">
        <v>450052315274</v>
      </c>
      <c r="E497" s="2" t="s">
        <v>63</v>
      </c>
      <c r="F497" s="2" t="s">
        <v>82</v>
      </c>
      <c r="G497" s="2" t="s">
        <v>83</v>
      </c>
      <c r="H497" s="2" t="s">
        <v>30</v>
      </c>
      <c r="I497" s="2" t="s">
        <v>47</v>
      </c>
      <c r="J497" s="2">
        <v>16012.31</v>
      </c>
      <c r="K497" s="2" t="s">
        <v>31</v>
      </c>
      <c r="L497" s="3">
        <v>45422</v>
      </c>
      <c r="M497" s="2" t="s">
        <v>112</v>
      </c>
      <c r="N497" s="2">
        <v>1116498.8999999999</v>
      </c>
      <c r="O497" s="2" t="s">
        <v>24</v>
      </c>
      <c r="P497" t="str">
        <f>TEXT(Table1[[#This Row],[Transaction Date]],"mmm")</f>
        <v>May</v>
      </c>
    </row>
    <row r="498" spans="1:16" ht="15.75" customHeight="1" x14ac:dyDescent="0.3">
      <c r="A498" s="2" t="s">
        <v>1081</v>
      </c>
      <c r="B498" s="2">
        <v>973339</v>
      </c>
      <c r="C498" s="2" t="s">
        <v>1082</v>
      </c>
      <c r="D498" s="2">
        <v>617919454254</v>
      </c>
      <c r="E498" s="2" t="s">
        <v>34</v>
      </c>
      <c r="F498" s="2" t="s">
        <v>59</v>
      </c>
      <c r="G498" s="2" t="s">
        <v>60</v>
      </c>
      <c r="H498" s="2" t="s">
        <v>30</v>
      </c>
      <c r="I498" s="2" t="s">
        <v>37</v>
      </c>
      <c r="J498" s="2">
        <v>129630.37</v>
      </c>
      <c r="K498" s="2" t="s">
        <v>48</v>
      </c>
      <c r="L498" s="3">
        <v>45323</v>
      </c>
      <c r="M498" s="2" t="s">
        <v>23</v>
      </c>
      <c r="N498" s="2">
        <v>1652562.49</v>
      </c>
      <c r="O498" s="2" t="s">
        <v>24</v>
      </c>
      <c r="P498" t="str">
        <f>TEXT(Table1[[#This Row],[Transaction Date]],"mmm")</f>
        <v>Feb</v>
      </c>
    </row>
    <row r="499" spans="1:16" ht="15.75" customHeight="1" x14ac:dyDescent="0.3">
      <c r="A499" s="2" t="s">
        <v>1083</v>
      </c>
      <c r="B499" s="2">
        <v>227576</v>
      </c>
      <c r="C499" s="2" t="s">
        <v>1084</v>
      </c>
      <c r="D499" s="2">
        <v>369866165241</v>
      </c>
      <c r="E499" s="2" t="s">
        <v>63</v>
      </c>
      <c r="F499" s="2" t="s">
        <v>64</v>
      </c>
      <c r="G499" s="2" t="s">
        <v>65</v>
      </c>
      <c r="H499" s="2" t="s">
        <v>20</v>
      </c>
      <c r="I499" s="2" t="s">
        <v>21</v>
      </c>
      <c r="J499" s="2">
        <v>307632.5</v>
      </c>
      <c r="K499" s="2" t="s">
        <v>97</v>
      </c>
      <c r="L499" s="3">
        <v>45407</v>
      </c>
      <c r="M499" s="2" t="s">
        <v>23</v>
      </c>
      <c r="N499" s="2">
        <v>448240.99</v>
      </c>
      <c r="O499" s="2" t="s">
        <v>24</v>
      </c>
      <c r="P499" t="str">
        <f>TEXT(Table1[[#This Row],[Transaction Date]],"mmm")</f>
        <v>Apr</v>
      </c>
    </row>
    <row r="500" spans="1:16" ht="15.75" customHeight="1" x14ac:dyDescent="0.3">
      <c r="A500" s="2" t="s">
        <v>1085</v>
      </c>
      <c r="B500" s="2">
        <v>209976</v>
      </c>
      <c r="C500" s="2" t="s">
        <v>1086</v>
      </c>
      <c r="D500" s="2">
        <v>238320682537</v>
      </c>
      <c r="E500" s="2" t="s">
        <v>63</v>
      </c>
      <c r="F500" s="2" t="s">
        <v>82</v>
      </c>
      <c r="G500" s="2" t="s">
        <v>83</v>
      </c>
      <c r="H500" s="2" t="s">
        <v>66</v>
      </c>
      <c r="I500" s="2" t="s">
        <v>52</v>
      </c>
      <c r="J500" s="2">
        <v>345920.42</v>
      </c>
      <c r="K500" s="2" t="s">
        <v>48</v>
      </c>
      <c r="L500" s="3">
        <v>45535</v>
      </c>
      <c r="M500" s="2" t="s">
        <v>23</v>
      </c>
      <c r="N500" s="2">
        <v>1012522.46</v>
      </c>
      <c r="O500" s="2" t="s">
        <v>24</v>
      </c>
      <c r="P500" t="str">
        <f>TEXT(Table1[[#This Row],[Transaction Date]],"mmm")</f>
        <v>Aug</v>
      </c>
    </row>
    <row r="501" spans="1:16" ht="15.75" customHeight="1" x14ac:dyDescent="0.3">
      <c r="A501" s="2" t="s">
        <v>1087</v>
      </c>
      <c r="B501" s="2">
        <v>429704</v>
      </c>
      <c r="C501" s="2" t="s">
        <v>1088</v>
      </c>
      <c r="D501" s="2">
        <v>127631697094</v>
      </c>
      <c r="E501" s="2" t="s">
        <v>17</v>
      </c>
      <c r="F501" s="2" t="s">
        <v>155</v>
      </c>
      <c r="G501" s="2" t="s">
        <v>156</v>
      </c>
      <c r="H501" s="2" t="s">
        <v>66</v>
      </c>
      <c r="I501" s="2" t="s">
        <v>47</v>
      </c>
      <c r="J501" s="2">
        <v>140084.76999999999</v>
      </c>
      <c r="K501" s="2" t="s">
        <v>38</v>
      </c>
      <c r="L501" s="3">
        <v>45842</v>
      </c>
      <c r="M501" s="2" t="s">
        <v>23</v>
      </c>
      <c r="N501" s="2">
        <v>1217164.3999999999</v>
      </c>
      <c r="O501" s="2" t="s">
        <v>24</v>
      </c>
      <c r="P501" t="str">
        <f>TEXT(Table1[[#This Row],[Transaction Date]],"mmm")</f>
        <v>Jul</v>
      </c>
    </row>
    <row r="502" spans="1:16" ht="15.75" customHeight="1" x14ac:dyDescent="0.3"/>
    <row r="503" spans="1:16" ht="15.75" customHeight="1" x14ac:dyDescent="0.3"/>
    <row r="504" spans="1:16" ht="15.75" customHeight="1" x14ac:dyDescent="0.3"/>
    <row r="505" spans="1:16" ht="15.75" customHeight="1" x14ac:dyDescent="0.3"/>
    <row r="506" spans="1:16" ht="15.75" customHeight="1" x14ac:dyDescent="0.3"/>
    <row r="507" spans="1:16" ht="15.75" customHeight="1" x14ac:dyDescent="0.3"/>
    <row r="508" spans="1:16" ht="15.75" customHeight="1" x14ac:dyDescent="0.3"/>
    <row r="509" spans="1:16" ht="15.75" customHeight="1" x14ac:dyDescent="0.3"/>
    <row r="510" spans="1:16" ht="15.75" customHeight="1" x14ac:dyDescent="0.3"/>
    <row r="511" spans="1:16" ht="15.75" customHeight="1" x14ac:dyDescent="0.3"/>
    <row r="512" spans="1:16"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Inian_bank</vt:lpstr>
      <vt:lpstr>dashboard</vt:lpstr>
      <vt:lpstr>monthly_trends</vt:lpstr>
      <vt:lpstr>Transaction Volume by Branch</vt:lpstr>
      <vt:lpstr>Sheet6</vt:lpstr>
      <vt:lpstr>Sheet7</vt:lpstr>
      <vt:lpstr>Sheet8</vt:lpstr>
      <vt:lpstr>Sheet9</vt:lpstr>
      <vt:lpstr>Sheet10</vt:lpstr>
      <vt:lpstr>Sheet11</vt:lpstr>
      <vt:lpstr>Sheet15</vt:lpstr>
      <vt:lpstr>Sheet16</vt:lpstr>
      <vt:lpstr>Sheet17</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gnani gnanesh</cp:lastModifiedBy>
  <dcterms:modified xsi:type="dcterms:W3CDTF">2026-10-04T05:03:50Z</dcterms:modified>
</cp:coreProperties>
</file>